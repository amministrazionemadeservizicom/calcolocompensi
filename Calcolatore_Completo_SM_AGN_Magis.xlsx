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ebbypalazzogmail.com/Documents/Downloads/"/>
    </mc:Choice>
  </mc:AlternateContent>
  <xr:revisionPtr revIDLastSave="0" documentId="8_{FE2D83D9-1614-1044-BA26-0C1A695AA77D}" xr6:coauthVersionLast="47" xr6:coauthVersionMax="47" xr10:uidLastSave="{00000000-0000-0000-0000-000000000000}"/>
  <bookViews>
    <workbookView xWindow="0" yWindow="680" windowWidth="16380" windowHeight="16640" tabRatio="500" activeTab="2" xr2:uid="{00000000-000D-0000-FFFF-FFFF00000000}"/>
  </bookViews>
  <sheets>
    <sheet name="Compenso per Contratto" sheetId="1" r:id="rId1"/>
    <sheet name="AGN Energia" sheetId="2" r:id="rId2"/>
    <sheet name="Magis Energ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3" i="3" l="1"/>
  <c r="D32" i="3"/>
  <c r="D31" i="3"/>
  <c r="D18" i="3"/>
  <c r="C18" i="3"/>
  <c r="D17" i="3"/>
  <c r="C17" i="3"/>
  <c r="D16" i="3"/>
  <c r="C16" i="3"/>
  <c r="D15" i="3"/>
  <c r="D20" i="3" s="1"/>
  <c r="D13" i="2"/>
  <c r="C13" i="2"/>
  <c r="D12" i="2"/>
  <c r="D11" i="2"/>
  <c r="D15" i="2" s="1"/>
  <c r="D36" i="1"/>
  <c r="D35" i="1"/>
  <c r="C35" i="1"/>
  <c r="D34" i="1"/>
  <c r="C34" i="1"/>
  <c r="D33" i="1"/>
  <c r="C33" i="1"/>
  <c r="D29" i="1"/>
  <c r="C29" i="1"/>
  <c r="D28" i="1"/>
  <c r="C28" i="1"/>
  <c r="D27" i="1"/>
  <c r="D30" i="1" s="1"/>
  <c r="D41" i="1" s="1"/>
  <c r="C27" i="1"/>
  <c r="D15" i="1"/>
  <c r="C15" i="1"/>
  <c r="D13" i="1"/>
  <c r="D17" i="1" s="1"/>
  <c r="D10" i="1"/>
  <c r="D40" i="1" s="1"/>
  <c r="D9" i="1"/>
  <c r="D14" i="1" s="1"/>
  <c r="D8" i="1"/>
  <c r="D39" i="1" s="1"/>
  <c r="D21" i="1" l="1"/>
  <c r="D20" i="1"/>
  <c r="D22" i="1" s="1"/>
  <c r="C22" i="1" s="1"/>
  <c r="D24" i="1"/>
  <c r="D42" i="1"/>
  <c r="D25" i="3"/>
  <c r="D24" i="3"/>
  <c r="D23" i="3"/>
  <c r="D19" i="2"/>
  <c r="D18" i="2"/>
  <c r="D20" i="2" s="1"/>
  <c r="C20" i="2" s="1"/>
  <c r="C14" i="1"/>
  <c r="D26" i="3" l="1"/>
  <c r="D43" i="1"/>
  <c r="D44" i="1" s="1"/>
  <c r="D22" i="2"/>
  <c r="C26" i="3" l="1"/>
  <c r="D28" i="3"/>
</calcChain>
</file>

<file path=xl/sharedStrings.xml><?xml version="1.0" encoding="utf-8"?>
<sst xmlns="http://schemas.openxmlformats.org/spreadsheetml/2006/main" count="235" uniqueCount="178">
  <si>
    <t>QUANTO PRENDO PER OGNI CONTRATTO</t>
  </si>
  <si>
    <t>SuperMoney Allegato C — Lordo e Netto con Enasarco + Ritenuta</t>
  </si>
  <si>
    <t>PARAMETRI</t>
  </si>
  <si>
    <t>CLUSTER</t>
  </si>
  <si>
    <t>Comp.</t>
  </si>
  <si>
    <t>Tot</t>
  </si>
  <si>
    <t>E1 Edison/Eni/Iren Rev</t>
  </si>
  <si>
    <t>€20+€75</t>
  </si>
  <si>
    <t>Numero contratti totali</t>
  </si>
  <si>
    <t>E2 Acea/Iren Quick/FW</t>
  </si>
  <si>
    <t>€20+€60</t>
  </si>
  <si>
    <t>Cluster prodotto</t>
  </si>
  <si>
    <t>E2 — €80 (Acea Fix, Iren Quick, Fastweb En.)</t>
  </si>
  <si>
    <t>E3 Iren PS/Illumia/Wek</t>
  </si>
  <si>
    <t>€20+€35</t>
  </si>
  <si>
    <t>Soglia RID raggiunta</t>
  </si>
  <si>
    <t>&gt; 70% → €35</t>
  </si>
  <si>
    <t>% contratti con RID</t>
  </si>
  <si>
    <t>75%</t>
  </si>
  <si>
    <t>SOGLIA RID</t>
  </si>
  <si>
    <t>%</t>
  </si>
  <si>
    <t>€</t>
  </si>
  <si>
    <t>RID</t>
  </si>
  <si>
    <t>&lt;60%</t>
  </si>
  <si>
    <t>LORDO PER CONTRATTO</t>
  </si>
  <si>
    <t>60-65%</t>
  </si>
  <si>
    <t>1. Commissione prodotto</t>
  </si>
  <si>
    <t>cluster</t>
  </si>
  <si>
    <t>65-70%</t>
  </si>
  <si>
    <t>2. Quota RID per contratto</t>
  </si>
  <si>
    <t>&gt;70%</t>
  </si>
  <si>
    <t>3. Quota canvass per contratto</t>
  </si>
  <si>
    <t>CANVASS ENTRY</t>
  </si>
  <si>
    <t>Fascia</t>
  </si>
  <si>
    <t>€/ctr</t>
  </si>
  <si>
    <t>Progressivo</t>
  </si>
  <si>
    <t>0-250</t>
  </si>
  <si>
    <t>251-350</t>
  </si>
  <si>
    <t>TRATTENUTE PER CONTRATTO</t>
  </si>
  <si>
    <t>351-500</t>
  </si>
  <si>
    <t>Enasarco (1%)</t>
  </si>
  <si>
    <t>1% del lordo</t>
  </si>
  <si>
    <t>Ritenuta d'acconto (23% su 20% = 4,60%)</t>
  </si>
  <si>
    <t>effettivo 4,60%</t>
  </si>
  <si>
    <t>CANVASS GOLD</t>
  </si>
  <si>
    <t>Soglia</t>
  </si>
  <si>
    <t>Totale trattenute</t>
  </si>
  <si>
    <t>Regressivo</t>
  </si>
  <si>
    <t>&gt;500</t>
  </si>
  <si>
    <t>&gt;1000</t>
  </si>
  <si>
    <t>NETTO PER CONTRATTO</t>
  </si>
  <si>
    <t>&gt;1500</t>
  </si>
  <si>
    <t>CANVASS ENTRY LEVEL (fino a 500 — progressivo)</t>
  </si>
  <si>
    <t>TRATTENUTE</t>
  </si>
  <si>
    <t>Fascia 0-250 x €5</t>
  </si>
  <si>
    <t>Enasarco</t>
  </si>
  <si>
    <t>1,00%</t>
  </si>
  <si>
    <t>Fascia 251-350 x €14</t>
  </si>
  <si>
    <t>Ritenuta (23% su 20%)</t>
  </si>
  <si>
    <t>4,60%</t>
  </si>
  <si>
    <t>Fascia 351-500 x €18</t>
  </si>
  <si>
    <t>5,60%</t>
  </si>
  <si>
    <t>Canvass Entry totale</t>
  </si>
  <si>
    <t>CANVASS GOLD (oltre 500 — regressivo su TUTTI i contratti)</t>
  </si>
  <si>
    <t>&gt; 500 contratti → €10 x TUTTI</t>
  </si>
  <si>
    <t>&gt; 1.000 contratti → €20 x TUTTI</t>
  </si>
  <si>
    <t>&gt; 1.500 contratti → €30 x TUTTI</t>
  </si>
  <si>
    <t>Canvass Gold totale</t>
  </si>
  <si>
    <t>TOTALE COMPLESSIVO</t>
  </si>
  <si>
    <t>Commissioni prodotto</t>
  </si>
  <si>
    <t>Gara RID totale</t>
  </si>
  <si>
    <t>Canvass totale</t>
  </si>
  <si>
    <t>LORDO COMPLESSIVO</t>
  </si>
  <si>
    <t>Trattenute totali (Enasarco + Ritenuta)</t>
  </si>
  <si>
    <t>NETTO COMPLESSIVO</t>
  </si>
  <si>
    <t>AGN ENERGIA — QUANTO PRENDO PER CONTRATTO</t>
  </si>
  <si>
    <t>Provvigioni Broker — Enasarco 1% + Ritenuta 23% su 20%</t>
  </si>
  <si>
    <t>DOMESTICI</t>
  </si>
  <si>
    <t>Gett.</t>
  </si>
  <si>
    <t>Rinn.</t>
  </si>
  <si>
    <t>Standard</t>
  </si>
  <si>
    <t>€ 40</t>
  </si>
  <si>
    <t>€ 36</t>
  </si>
  <si>
    <t>Canale</t>
  </si>
  <si>
    <t>Condominio</t>
  </si>
  <si>
    <t>Silver</t>
  </si>
  <si>
    <t>€ 80</t>
  </si>
  <si>
    <t>€ 72</t>
  </si>
  <si>
    <t>Livello</t>
  </si>
  <si>
    <t>Platinum</t>
  </si>
  <si>
    <t>Gold</t>
  </si>
  <si>
    <t>€ 100</t>
  </si>
  <si>
    <t>€ 90</t>
  </si>
  <si>
    <t>CONDOMINI</t>
  </si>
  <si>
    <t>1. Gettone acquisizione</t>
  </si>
  <si>
    <t>da tabella</t>
  </si>
  <si>
    <t>€ 50</t>
  </si>
  <si>
    <t>2. Rinnovo (dal 13° mese)</t>
  </si>
  <si>
    <t>annuale/mensile</t>
  </si>
  <si>
    <t>€ 200</t>
  </si>
  <si>
    <t>€ 175</t>
  </si>
  <si>
    <t>3. Ricorrente (€/MWh)</t>
  </si>
  <si>
    <t>€ 350</t>
  </si>
  <si>
    <t>Diamond</t>
  </si>
  <si>
    <t>€ 400</t>
  </si>
  <si>
    <t>€ 300</t>
  </si>
  <si>
    <t>LORDO GETTONE</t>
  </si>
  <si>
    <t>BUSINESS</t>
  </si>
  <si>
    <t>TRATTENUTE (Enasarco 1% + Ritenuta 4,60%)</t>
  </si>
  <si>
    <t>Business</t>
  </si>
  <si>
    <t>€ 120</t>
  </si>
  <si>
    <t>€ 60</t>
  </si>
  <si>
    <t>Business SA</t>
  </si>
  <si>
    <t>€ 240</t>
  </si>
  <si>
    <t>€ 180</t>
  </si>
  <si>
    <t>RICORRENTE</t>
  </si>
  <si>
    <t>€/MWh</t>
  </si>
  <si>
    <t>Domestici</t>
  </si>
  <si>
    <t>—</t>
  </si>
  <si>
    <t>NETTO GETTONE</t>
  </si>
  <si>
    <t>Condomini</t>
  </si>
  <si>
    <t>€ 5</t>
  </si>
  <si>
    <t>€ 2</t>
  </si>
  <si>
    <t>Rinnovo dal 13° mese. Ricorrente: Cond. €5/MWh, Bus. €2/MWh (in aggiunta al gettone). Business vincolato a FV, Business SA senza vincolo.</t>
  </si>
  <si>
    <t>Totale</t>
  </si>
  <si>
    <t>MAGIS ENERGIA — QUANTO PRENDO PER CONTRATTO</t>
  </si>
  <si>
    <t>Allegato C + D — IVA, Enasarco e Ritenuta a carico mio</t>
  </si>
  <si>
    <t>DOMESTICO</t>
  </si>
  <si>
    <t>Ric.EE</t>
  </si>
  <si>
    <t>Tipo A</t>
  </si>
  <si>
    <t>€0,010</t>
  </si>
  <si>
    <t>PdP al mese (per canvass)</t>
  </si>
  <si>
    <t>Tipo M</t>
  </si>
  <si>
    <t>Tipo cliente</t>
  </si>
  <si>
    <t>Domestico</t>
  </si>
  <si>
    <t>Tipo B</t>
  </si>
  <si>
    <t>€0,003</t>
  </si>
  <si>
    <t>Tipo compenso</t>
  </si>
  <si>
    <t>A</t>
  </si>
  <si>
    <t>Commodity</t>
  </si>
  <si>
    <t>Energia Elettrica</t>
  </si>
  <si>
    <t>ALTRI USI</t>
  </si>
  <si>
    <t>Cliente con SDD?</t>
  </si>
  <si>
    <t>Si</t>
  </si>
  <si>
    <t>€0,0040</t>
  </si>
  <si>
    <t>Cliente Paperless / Fatt.dig+Cell+Consensi?</t>
  </si>
  <si>
    <t>€0,0030</t>
  </si>
  <si>
    <t>€0,0020</t>
  </si>
  <si>
    <t>LORDO PER CONTRATTO (una tantum)</t>
  </si>
  <si>
    <t>Tipo L</t>
  </si>
  <si>
    <t>€0,0015</t>
  </si>
  <si>
    <t>2. Add-on SDD</t>
  </si>
  <si>
    <t>CANVASS MENSILE</t>
  </si>
  <si>
    <t>PdP</t>
  </si>
  <si>
    <t>€/pdp</t>
  </si>
  <si>
    <t>3. Add-on Paperless / Fatt.dig+Consensi</t>
  </si>
  <si>
    <t>Fascia 1</t>
  </si>
  <si>
    <t>50-80</t>
  </si>
  <si>
    <t>4. Canvass mensile</t>
  </si>
  <si>
    <t>Fascia 2</t>
  </si>
  <si>
    <t>81-120</t>
  </si>
  <si>
    <t>Fascia 3</t>
  </si>
  <si>
    <t>&gt;120</t>
  </si>
  <si>
    <t>TRATTENUTE (IVA + Enasarco + Ritenuta a carico tuo)</t>
  </si>
  <si>
    <t>IVA</t>
  </si>
  <si>
    <t>22,00%</t>
  </si>
  <si>
    <t>IVA (22%)</t>
  </si>
  <si>
    <t>a carico tuo</t>
  </si>
  <si>
    <t>TOTALE trattenute</t>
  </si>
  <si>
    <t>27,60%</t>
  </si>
  <si>
    <t>NETTO PER CONTRATTO (una tantum)</t>
  </si>
  <si>
    <t>RICORRENTI (dal 1° mese — in aggiunta al gettone)</t>
  </si>
  <si>
    <t>Ricorrente variabile EE (€/kWh)</t>
  </si>
  <si>
    <t>dal 1° mese</t>
  </si>
  <si>
    <t>Ricorrente variabile Gas (€/Smc)</t>
  </si>
  <si>
    <t>Ricorrente fisso (€/PdP/mese) dal 13° mese</t>
  </si>
  <si>
    <t>dal 13° mese</t>
  </si>
  <si>
    <t>Add-on: SDD €15/pdp + Paperless/Fatt.dig €5/pdp. Canvass: mensile, si applica su tutti i PdP del mese. Stornabilità gettone 50% se cliente resta &lt;6 mesi.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</si>
</sst>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€ &quot;#,##0"/>
    <numFmt numFmtId="165" formatCode="&quot;€ &quot;#,##0.00"/>
    <numFmt numFmtId="166" formatCode="&quot;€ &quot;#,##0.0000"/>
  </numFmts>
  <fonts count="33" x14ac:knownFonts="1">
    <font>
      <sz val="11"/>
      <color theme="1"/>
      <name val="Calibri"/>
      <family val="2"/>
      <charset val="1"/>
    </font>
    <font>
      <b/>
      <sz val="16"/>
      <color rgb="FFD6006E"/>
      <name val="Arial"/>
      <family val="2"/>
    </font>
    <font>
      <i/>
      <sz val="9"/>
      <color rgb="FF888888"/>
      <name val="Arial"/>
      <family val="2"/>
    </font>
    <font>
      <b/>
      <sz val="11"/>
      <color rgb="FFFFFFFF"/>
      <name val="Arial"/>
      <family val="2"/>
    </font>
    <font>
      <sz val="11"/>
      <color rgb="FF2D2D2D"/>
      <name val="Arial"/>
      <family val="2"/>
    </font>
    <font>
      <b/>
      <sz val="11"/>
      <name val="Arial"/>
      <family val="2"/>
    </font>
    <font>
      <b/>
      <sz val="11"/>
      <color rgb="FF2D2D2D"/>
      <name val="Arial"/>
      <family val="2"/>
    </font>
    <font>
      <b/>
      <sz val="14"/>
      <color rgb="FF0000FF"/>
      <name val="Arial"/>
      <family val="2"/>
    </font>
    <font>
      <b/>
      <sz val="12"/>
      <color rgb="FF0000FF"/>
      <name val="Arial"/>
      <family val="2"/>
    </font>
    <font>
      <b/>
      <sz val="12"/>
      <color rgb="FF000000"/>
      <name val="Arial"/>
      <family val="2"/>
    </font>
    <font>
      <b/>
      <sz val="16"/>
      <color rgb="FF185FA5"/>
      <name val="Arial"/>
      <family val="2"/>
    </font>
    <font>
      <b/>
      <sz val="16"/>
      <color rgb="FF3B6D11"/>
      <name val="Arial"/>
      <family val="2"/>
    </font>
    <font>
      <b/>
      <sz val="11"/>
      <color rgb="FF854F0B"/>
      <name val="Arial"/>
      <family val="2"/>
    </font>
    <font>
      <b/>
      <sz val="16"/>
      <color rgb="FF854F0B"/>
      <name val="Arial"/>
      <family val="2"/>
    </font>
    <font>
      <b/>
      <sz val="14"/>
      <color rgb="FFD6006E"/>
      <name val="Arial"/>
      <family val="2"/>
    </font>
    <font>
      <b/>
      <sz val="20"/>
      <color rgb="FFD6006E"/>
      <name val="Arial"/>
      <family val="2"/>
    </font>
    <font>
      <b/>
      <sz val="14"/>
      <color rgb="FFCC0000"/>
      <name val="Arial"/>
      <family val="2"/>
    </font>
    <font>
      <b/>
      <sz val="11"/>
      <color rgb="FFB8860B"/>
      <name val="Arial"/>
      <family val="2"/>
    </font>
    <font>
      <b/>
      <sz val="15"/>
      <color rgb="FF27AE60"/>
      <name val="Arial"/>
      <family val="2"/>
    </font>
    <font>
      <b/>
      <sz val="22"/>
      <color rgb="FF27AE60"/>
      <name val="Arial"/>
      <family val="2"/>
    </font>
    <font>
      <b/>
      <sz val="11"/>
      <color rgb="FFCC0000"/>
      <name val="Arial"/>
      <family val="2"/>
    </font>
    <font>
      <b/>
      <sz val="13"/>
      <color rgb="FF854F0B"/>
      <name val="Arial"/>
      <family val="2"/>
    </font>
    <font>
      <b/>
      <sz val="13"/>
      <color rgb="FFB8860B"/>
      <name val="Arial"/>
      <family val="2"/>
    </font>
    <font>
      <b/>
      <sz val="12"/>
      <color rgb="FFD6006E"/>
      <name val="Arial"/>
      <family val="2"/>
    </font>
    <font>
      <b/>
      <sz val="12"/>
      <color rgb="FF27AE60"/>
      <name val="Arial"/>
      <family val="2"/>
    </font>
    <font>
      <b/>
      <sz val="14"/>
      <color rgb="FF27AE60"/>
      <name val="Arial"/>
      <family val="2"/>
    </font>
    <font>
      <b/>
      <sz val="16"/>
      <color rgb="FFF5A623"/>
      <name val="Arial"/>
      <family val="2"/>
    </font>
    <font>
      <b/>
      <sz val="14"/>
      <color rgb="FF3B6D11"/>
      <name val="Arial"/>
      <family val="2"/>
    </font>
    <font>
      <b/>
      <sz val="14"/>
      <color rgb="FF854F0B"/>
      <name val="Arial"/>
      <family val="2"/>
    </font>
    <font>
      <b/>
      <sz val="14"/>
      <color rgb="FFF5A623"/>
      <name val="Arial"/>
      <family val="2"/>
    </font>
    <font>
      <b/>
      <sz val="20"/>
      <color rgb="FFF5A623"/>
      <name val="Arial"/>
      <family val="2"/>
    </font>
    <font>
      <b/>
      <sz val="16"/>
      <color rgb="FFCC0000"/>
      <name val="Arial"/>
      <family val="2"/>
    </font>
    <font>
      <b/>
      <sz val="20"/>
      <color rgb="FFCC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2D2D2D"/>
        <bgColor rgb="FF333300"/>
      </patternFill>
    </fill>
    <fill>
      <patternFill patternType="solid">
        <fgColor rgb="FFE6F1FB"/>
        <bgColor rgb="FFE8F5E9"/>
      </patternFill>
    </fill>
    <fill>
      <patternFill patternType="solid">
        <fgColor rgb="FFFFF9E0"/>
        <bgColor rgb="FFFAEEDA"/>
      </patternFill>
    </fill>
    <fill>
      <patternFill patternType="solid">
        <fgColor rgb="FFEAF3DE"/>
        <bgColor rgb="FFE8F5E9"/>
      </patternFill>
    </fill>
    <fill>
      <patternFill patternType="solid">
        <fgColor rgb="FFF2F2F2"/>
        <bgColor rgb="FFE8F5E9"/>
      </patternFill>
    </fill>
    <fill>
      <patternFill patternType="solid">
        <fgColor rgb="FFFAEEDA"/>
        <bgColor rgb="FFFCEBEB"/>
      </patternFill>
    </fill>
    <fill>
      <patternFill patternType="solid">
        <fgColor rgb="FFD6006E"/>
        <bgColor rgb="FFCC0000"/>
      </patternFill>
    </fill>
    <fill>
      <patternFill patternType="solid">
        <fgColor rgb="FFFBEAF0"/>
        <bgColor rgb="FFFCEBEB"/>
      </patternFill>
    </fill>
    <fill>
      <patternFill patternType="solid">
        <fgColor rgb="FFCC0000"/>
        <bgColor rgb="FFD6006E"/>
      </patternFill>
    </fill>
    <fill>
      <patternFill patternType="solid">
        <fgColor rgb="FFFCEBEB"/>
        <bgColor rgb="FFFBEAF0"/>
      </patternFill>
    </fill>
    <fill>
      <patternFill patternType="solid">
        <fgColor rgb="FFB8860B"/>
        <bgColor rgb="FFF5A623"/>
      </patternFill>
    </fill>
    <fill>
      <patternFill patternType="solid">
        <fgColor rgb="FFFFF0C0"/>
        <bgColor rgb="FFFAEEDA"/>
      </patternFill>
    </fill>
    <fill>
      <patternFill patternType="solid">
        <fgColor rgb="FFE8F5E9"/>
        <bgColor rgb="FFEAF3DE"/>
      </patternFill>
    </fill>
    <fill>
      <patternFill patternType="solid">
        <fgColor rgb="FF854F0B"/>
        <bgColor rgb="FF993366"/>
      </patternFill>
    </fill>
    <fill>
      <patternFill patternType="solid">
        <fgColor rgb="FFF5A623"/>
        <bgColor rgb="FFF5C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6" fillId="9" borderId="1" xfId="0" applyFont="1" applyFill="1" applyBorder="1" applyAlignment="1">
      <alignment horizontal="left" vertical="center" wrapText="1"/>
    </xf>
    <xf numFmtId="0" fontId="31" fillId="0" borderId="0" xfId="0" applyFont="1"/>
    <xf numFmtId="0" fontId="29" fillId="9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26" fillId="0" borderId="0" xfId="0" applyFont="1"/>
    <xf numFmtId="0" fontId="3" fillId="12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9" fontId="9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165" fontId="13" fillId="7" borderId="1" xfId="0" applyNumberFormat="1" applyFont="1" applyFill="1" applyBorder="1" applyAlignment="1">
      <alignment horizontal="center" vertical="center" wrapText="1"/>
    </xf>
    <xf numFmtId="165" fontId="15" fillId="9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65" fontId="16" fillId="11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64" fontId="17" fillId="13" borderId="1" xfId="0" applyNumberFormat="1" applyFont="1" applyFill="1" applyBorder="1" applyAlignment="1">
      <alignment horizontal="center" vertical="center" wrapText="1"/>
    </xf>
    <xf numFmtId="165" fontId="19" fillId="14" borderId="1" xfId="0" applyNumberFormat="1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164" fontId="9" fillId="13" borderId="1" xfId="0" applyNumberFormat="1" applyFont="1" applyFill="1" applyBorder="1" applyAlignment="1">
      <alignment horizontal="center" vertical="center" wrapText="1"/>
    </xf>
    <xf numFmtId="164" fontId="22" fillId="1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4" fontId="16" fillId="11" borderId="1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164" fontId="25" fillId="14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65" fontId="27" fillId="5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5" fontId="28" fillId="7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165" fontId="30" fillId="9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65" fontId="32" fillId="9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166" fontId="9" fillId="7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8860B"/>
      <rgbColor rgb="FFD6006E"/>
      <rgbColor rgb="FF008080"/>
      <rgbColor rgb="FFCCCCCC"/>
      <rgbColor rgb="FF888888"/>
      <rgbColor rgb="FF9999FF"/>
      <rgbColor rgb="FF993366"/>
      <rgbColor rgb="FFFFF9E0"/>
      <rgbColor rgb="FFE6F1FB"/>
      <rgbColor rgb="FF660066"/>
      <rgbColor rgb="FFFF8080"/>
      <rgbColor rgb="FF185FA5"/>
      <rgbColor rgb="FFFBEA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AF3DE"/>
      <rgbColor rgb="FFFFF0C0"/>
      <rgbColor rgb="FFF2F2F2"/>
      <rgbColor rgb="FFFCEBEB"/>
      <rgbColor rgb="FFCC99FF"/>
      <rgbColor rgb="FFFAEEDA"/>
      <rgbColor rgb="FF3366FF"/>
      <rgbColor rgb="FF33CCCC"/>
      <rgbColor rgb="FF99CC00"/>
      <rgbColor rgb="FFF5C518"/>
      <rgbColor rgb="FFF5A623"/>
      <rgbColor rgb="FFFF6600"/>
      <rgbColor rgb="FF666699"/>
      <rgbColor rgb="FF969696"/>
      <rgbColor rgb="FF003366"/>
      <rgbColor rgb="FF27AE60"/>
      <rgbColor rgb="FF003300"/>
      <rgbColor rgb="FF333300"/>
      <rgbColor rgb="FF854F0B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006E"/>
  </sheetPr>
  <dimension ref="B2:H44"/>
  <sheetViews>
    <sheetView zoomScaleNormal="100" workbookViewId="0"/>
  </sheetViews>
  <sheetFormatPr baseColWidth="10" defaultColWidth="8.6640625" defaultRowHeight="15" x14ac:dyDescent="0.2"/>
  <cols>
    <col min="1" max="1" width="3" customWidth="1"/>
    <col min="2" max="2" width="46" customWidth="1"/>
    <col min="3" max="3" width="26" customWidth="1"/>
    <col min="4" max="4" width="22" customWidth="1"/>
    <col min="5" max="5" width="4" customWidth="1"/>
    <col min="6" max="6" width="30" customWidth="1"/>
    <col min="7" max="8" width="14" customWidth="1"/>
  </cols>
  <sheetData>
    <row r="2" spans="2:8" ht="19.5" customHeight="1" x14ac:dyDescent="0.2">
      <c r="B2" s="14" t="s">
        <v>0</v>
      </c>
      <c r="C2" s="14"/>
      <c r="D2" s="14"/>
    </row>
    <row r="3" spans="2:8" ht="15" customHeight="1" x14ac:dyDescent="0.2">
      <c r="B3" s="13" t="s">
        <v>1</v>
      </c>
      <c r="C3" s="13"/>
      <c r="D3" s="13"/>
    </row>
    <row r="5" spans="2:8" ht="25.5" customHeight="1" x14ac:dyDescent="0.2">
      <c r="B5" s="12" t="s">
        <v>2</v>
      </c>
      <c r="C5" s="12"/>
      <c r="D5" s="12"/>
      <c r="F5" s="15" t="s">
        <v>3</v>
      </c>
      <c r="G5" s="15" t="s">
        <v>4</v>
      </c>
      <c r="H5" s="15" t="s">
        <v>5</v>
      </c>
    </row>
    <row r="6" spans="2:8" ht="15" customHeight="1" x14ac:dyDescent="0.2">
      <c r="F6" s="16" t="s">
        <v>6</v>
      </c>
      <c r="G6" s="17" t="s">
        <v>7</v>
      </c>
      <c r="H6" s="18">
        <v>95</v>
      </c>
    </row>
    <row r="7" spans="2:8" ht="30" customHeight="1" x14ac:dyDescent="0.2">
      <c r="B7" s="19" t="s">
        <v>8</v>
      </c>
      <c r="C7" s="20">
        <v>300</v>
      </c>
      <c r="F7" s="21" t="s">
        <v>9</v>
      </c>
      <c r="G7" s="22" t="s">
        <v>10</v>
      </c>
      <c r="H7" s="23">
        <v>80</v>
      </c>
    </row>
    <row r="8" spans="2:8" ht="30" customHeight="1" x14ac:dyDescent="0.2">
      <c r="B8" s="19" t="s">
        <v>11</v>
      </c>
      <c r="C8" s="24" t="s">
        <v>12</v>
      </c>
      <c r="D8" s="25">
        <f>IF(LEFT(C8,2)="E1",95,IF(LEFT(C8,2)="E2",80,55))</f>
        <v>80</v>
      </c>
      <c r="F8" s="26" t="s">
        <v>13</v>
      </c>
      <c r="G8" s="27" t="s">
        <v>14</v>
      </c>
      <c r="H8" s="28">
        <v>55</v>
      </c>
    </row>
    <row r="9" spans="2:8" ht="30" customHeight="1" x14ac:dyDescent="0.2">
      <c r="B9" s="19" t="s">
        <v>15</v>
      </c>
      <c r="C9" s="24" t="s">
        <v>16</v>
      </c>
      <c r="D9" s="25">
        <f>IF(RIGHT(C9,2)="€5",5,IF(RIGHT(C9,3)="€20",20,IF(RIGHT(C9,3)="€30",30,35)))</f>
        <v>35</v>
      </c>
    </row>
    <row r="10" spans="2:8" ht="30" customHeight="1" x14ac:dyDescent="0.2">
      <c r="B10" s="19" t="s">
        <v>17</v>
      </c>
      <c r="C10" s="24" t="s">
        <v>18</v>
      </c>
      <c r="D10" s="29">
        <f>VALUE(SUBSTITUTE(C10,"%",""))/100</f>
        <v>0.75</v>
      </c>
      <c r="F10" s="15" t="s">
        <v>19</v>
      </c>
      <c r="G10" s="15" t="s">
        <v>20</v>
      </c>
      <c r="H10" s="15" t="s">
        <v>21</v>
      </c>
    </row>
    <row r="11" spans="2:8" ht="15" customHeight="1" x14ac:dyDescent="0.2">
      <c r="F11" s="30" t="s">
        <v>22</v>
      </c>
      <c r="G11" s="30" t="s">
        <v>23</v>
      </c>
      <c r="H11" s="31">
        <v>5</v>
      </c>
    </row>
    <row r="12" spans="2:8" ht="25.5" customHeight="1" x14ac:dyDescent="0.2">
      <c r="B12" s="11" t="s">
        <v>24</v>
      </c>
      <c r="C12" s="11"/>
      <c r="D12" s="11"/>
      <c r="F12" s="32" t="s">
        <v>22</v>
      </c>
      <c r="G12" s="32" t="s">
        <v>25</v>
      </c>
      <c r="H12" s="33">
        <v>20</v>
      </c>
    </row>
    <row r="13" spans="2:8" ht="30" customHeight="1" x14ac:dyDescent="0.2">
      <c r="B13" s="34" t="s">
        <v>26</v>
      </c>
      <c r="C13" s="35" t="s">
        <v>27</v>
      </c>
      <c r="D13" s="36">
        <f>D8</f>
        <v>80</v>
      </c>
      <c r="F13" s="30" t="s">
        <v>22</v>
      </c>
      <c r="G13" s="30" t="s">
        <v>28</v>
      </c>
      <c r="H13" s="31">
        <v>30</v>
      </c>
    </row>
    <row r="14" spans="2:8" ht="30" customHeight="1" x14ac:dyDescent="0.2">
      <c r="B14" s="37" t="s">
        <v>29</v>
      </c>
      <c r="C14" s="38" t="str">
        <f>"€"&amp;D9&amp;" x "&amp;TEXT(D10,"0%")</f>
        <v>€35 x 75%</v>
      </c>
      <c r="D14" s="39">
        <f>D9*D10</f>
        <v>26.25</v>
      </c>
      <c r="F14" s="32" t="s">
        <v>22</v>
      </c>
      <c r="G14" s="32" t="s">
        <v>30</v>
      </c>
      <c r="H14" s="33">
        <v>35</v>
      </c>
    </row>
    <row r="15" spans="2:8" ht="30" customHeight="1" x14ac:dyDescent="0.2">
      <c r="B15" s="40" t="s">
        <v>31</v>
      </c>
      <c r="C15" s="41" t="str">
        <f>IF(C7&gt;500,"GOLD","ENTRY LEVEL")</f>
        <v>ENTRY LEVEL</v>
      </c>
      <c r="D15" s="42">
        <f>IF(C7&lt;=500,IF(C7&gt;0,(MIN(C7,250)*5+MIN(MAX(C7-250,0),100)*14+MIN(MAX(C7-350,0),150)*18)/C7,0),IF(C7&gt;1500,30,IF(C7&gt;1000,20,10)))</f>
        <v>6.5</v>
      </c>
    </row>
    <row r="16" spans="2:8" ht="15" customHeight="1" x14ac:dyDescent="0.2">
      <c r="F16" s="15" t="s">
        <v>32</v>
      </c>
      <c r="G16" s="15" t="s">
        <v>33</v>
      </c>
      <c r="H16" s="15" t="s">
        <v>34</v>
      </c>
    </row>
    <row r="17" spans="2:8" ht="45" customHeight="1" x14ac:dyDescent="0.2">
      <c r="B17" s="10" t="s">
        <v>24</v>
      </c>
      <c r="C17" s="10"/>
      <c r="D17" s="43">
        <f>D13+D14+D15</f>
        <v>112.75</v>
      </c>
      <c r="F17" s="27" t="s">
        <v>35</v>
      </c>
      <c r="G17" s="27" t="s">
        <v>36</v>
      </c>
      <c r="H17" s="28">
        <v>5</v>
      </c>
    </row>
    <row r="18" spans="2:8" ht="15" customHeight="1" x14ac:dyDescent="0.2">
      <c r="F18" s="27" t="s">
        <v>35</v>
      </c>
      <c r="G18" s="27" t="s">
        <v>37</v>
      </c>
      <c r="H18" s="28">
        <v>14</v>
      </c>
    </row>
    <row r="19" spans="2:8" ht="25.5" customHeight="1" x14ac:dyDescent="0.2">
      <c r="B19" s="9" t="s">
        <v>38</v>
      </c>
      <c r="C19" s="9"/>
      <c r="D19" s="9"/>
      <c r="F19" s="27" t="s">
        <v>35</v>
      </c>
      <c r="G19" s="27" t="s">
        <v>39</v>
      </c>
      <c r="H19" s="28">
        <v>18</v>
      </c>
    </row>
    <row r="20" spans="2:8" ht="27.75" customHeight="1" x14ac:dyDescent="0.2">
      <c r="B20" s="45" t="s">
        <v>40</v>
      </c>
      <c r="C20" s="46" t="s">
        <v>41</v>
      </c>
      <c r="D20" s="47">
        <f>ROUND(D17*0.01,2)</f>
        <v>1.1299999999999999</v>
      </c>
    </row>
    <row r="21" spans="2:8" ht="27.75" customHeight="1" x14ac:dyDescent="0.2">
      <c r="B21" s="45" t="s">
        <v>42</v>
      </c>
      <c r="C21" s="46" t="s">
        <v>43</v>
      </c>
      <c r="D21" s="47">
        <f>ROUND(D17*0.23*0.2,2)</f>
        <v>5.19</v>
      </c>
      <c r="F21" s="48" t="s">
        <v>44</v>
      </c>
      <c r="G21" s="48" t="s">
        <v>45</v>
      </c>
      <c r="H21" s="48" t="s">
        <v>34</v>
      </c>
    </row>
    <row r="22" spans="2:8" ht="27.75" customHeight="1" x14ac:dyDescent="0.2">
      <c r="B22" s="45" t="s">
        <v>46</v>
      </c>
      <c r="C22" s="46" t="str">
        <f>TEXT(D22/D17*100,"0.00")&amp;"% del lordo"</f>
        <v>006% del lordo</v>
      </c>
      <c r="D22" s="47">
        <f>D20+D21</f>
        <v>6.32</v>
      </c>
      <c r="F22" s="49" t="s">
        <v>47</v>
      </c>
      <c r="G22" s="49" t="s">
        <v>48</v>
      </c>
      <c r="H22" s="50">
        <v>10</v>
      </c>
    </row>
    <row r="23" spans="2:8" ht="15" customHeight="1" x14ac:dyDescent="0.2">
      <c r="F23" s="49" t="s">
        <v>47</v>
      </c>
      <c r="G23" s="49" t="s">
        <v>49</v>
      </c>
      <c r="H23" s="50">
        <v>20</v>
      </c>
    </row>
    <row r="24" spans="2:8" ht="64.5" customHeight="1" x14ac:dyDescent="0.2">
      <c r="B24" s="8" t="s">
        <v>50</v>
      </c>
      <c r="C24" s="8"/>
      <c r="D24" s="51">
        <f>D17-D22</f>
        <v>106.43</v>
      </c>
      <c r="F24" s="49" t="s">
        <v>47</v>
      </c>
      <c r="G24" s="49" t="s">
        <v>51</v>
      </c>
      <c r="H24" s="50">
        <v>30</v>
      </c>
    </row>
    <row r="26" spans="2:8" ht="25.5" customHeight="1" x14ac:dyDescent="0.2">
      <c r="B26" s="7" t="s">
        <v>52</v>
      </c>
      <c r="C26" s="7"/>
      <c r="D26" s="7"/>
      <c r="F26" s="15" t="s">
        <v>53</v>
      </c>
      <c r="G26" s="15"/>
      <c r="H26" s="15" t="s">
        <v>20</v>
      </c>
    </row>
    <row r="27" spans="2:8" ht="15" customHeight="1" x14ac:dyDescent="0.2">
      <c r="B27" s="26" t="s">
        <v>54</v>
      </c>
      <c r="C27" s="27" t="str">
        <f>MIN(C7,250)&amp;" ctr"</f>
        <v>250 ctr</v>
      </c>
      <c r="D27" s="52">
        <f>IF(C7&lt;=500,MIN(C7,250)*5,"-")</f>
        <v>1250</v>
      </c>
      <c r="F27" s="53" t="s">
        <v>55</v>
      </c>
      <c r="H27" s="54" t="s">
        <v>56</v>
      </c>
    </row>
    <row r="28" spans="2:8" ht="15" customHeight="1" x14ac:dyDescent="0.2">
      <c r="B28" s="26" t="s">
        <v>57</v>
      </c>
      <c r="C28" s="27" t="str">
        <f>MIN(MAX(C7-250,0),100)&amp;" ctr"</f>
        <v>50 ctr</v>
      </c>
      <c r="D28" s="52">
        <f>IF(C7&lt;=500,MIN(MAX(C7-250,0),100)*14,"-")</f>
        <v>700</v>
      </c>
      <c r="F28" s="53" t="s">
        <v>58</v>
      </c>
      <c r="H28" s="54" t="s">
        <v>59</v>
      </c>
    </row>
    <row r="29" spans="2:8" ht="15" customHeight="1" x14ac:dyDescent="0.2">
      <c r="B29" s="26" t="s">
        <v>60</v>
      </c>
      <c r="C29" s="27" t="str">
        <f>MIN(MAX(C7-350,0),150)&amp;" ctr"</f>
        <v>0 ctr</v>
      </c>
      <c r="D29" s="52">
        <f>IF(C7&lt;=500,MIN(MAX(C7-350,0),150)*18,"-")</f>
        <v>0</v>
      </c>
      <c r="F29" s="45" t="s">
        <v>46</v>
      </c>
      <c r="H29" s="55" t="s">
        <v>61</v>
      </c>
    </row>
    <row r="30" spans="2:8" ht="15.75" customHeight="1" x14ac:dyDescent="0.2">
      <c r="B30" s="19" t="s">
        <v>62</v>
      </c>
      <c r="D30" s="56">
        <f>IF(C7&lt;=500,IF(ISNUMBER(D27),D27,0)+IF(ISNUMBER(D28),D28,0)+IF(ISNUMBER(D29),D29,0),"-")</f>
        <v>1950</v>
      </c>
    </row>
    <row r="32" spans="2:8" ht="25.5" customHeight="1" x14ac:dyDescent="0.2">
      <c r="B32" s="6" t="s">
        <v>63</v>
      </c>
      <c r="C32" s="6"/>
      <c r="D32" s="6"/>
    </row>
    <row r="33" spans="2:4" ht="15" customHeight="1" x14ac:dyDescent="0.2">
      <c r="B33" s="57" t="s">
        <v>64</v>
      </c>
      <c r="C33" s="49" t="str">
        <f>IF(C7&gt;500,C7&amp;" x €10","")</f>
        <v/>
      </c>
      <c r="D33" s="58" t="str">
        <f>IF(C7&gt;500,IF(C7&lt;=1000,C7*10,""),"")</f>
        <v/>
      </c>
    </row>
    <row r="34" spans="2:4" ht="15" customHeight="1" x14ac:dyDescent="0.2">
      <c r="B34" s="57" t="s">
        <v>65</v>
      </c>
      <c r="C34" s="49" t="str">
        <f>IF(C7&gt;1000,C7&amp;" x €20","")</f>
        <v/>
      </c>
      <c r="D34" s="58" t="str">
        <f>IF(C7&gt;1000,IF(C7&lt;=1500,C7*20,""),"")</f>
        <v/>
      </c>
    </row>
    <row r="35" spans="2:4" ht="15" customHeight="1" x14ac:dyDescent="0.2">
      <c r="B35" s="57" t="s">
        <v>66</v>
      </c>
      <c r="C35" s="49" t="str">
        <f>IF(C7&gt;1500,C7&amp;" x €30","")</f>
        <v/>
      </c>
      <c r="D35" s="58" t="str">
        <f>IF(C7&gt;1500,C7*30,"")</f>
        <v/>
      </c>
    </row>
    <row r="36" spans="2:4" ht="15.75" customHeight="1" x14ac:dyDescent="0.2">
      <c r="B36" s="57" t="s">
        <v>67</v>
      </c>
      <c r="D36" s="59" t="str">
        <f>IF(C7&gt;500,IF(C7&lt;=1000,C7*10,IF(C7&lt;=1500,C7*20,C7*30)),"")</f>
        <v/>
      </c>
    </row>
    <row r="38" spans="2:4" ht="25.5" customHeight="1" x14ac:dyDescent="0.2">
      <c r="B38" s="12" t="s">
        <v>68</v>
      </c>
      <c r="C38" s="12"/>
      <c r="D38" s="12"/>
    </row>
    <row r="39" spans="2:4" ht="15" customHeight="1" x14ac:dyDescent="0.2">
      <c r="B39" s="60" t="s">
        <v>69</v>
      </c>
      <c r="D39" s="61">
        <f>C7*D8</f>
        <v>24000</v>
      </c>
    </row>
    <row r="40" spans="2:4" ht="15" customHeight="1" x14ac:dyDescent="0.2">
      <c r="B40" s="60" t="s">
        <v>70</v>
      </c>
      <c r="D40" s="61">
        <f>ROUND(C7*D10,0)*D9</f>
        <v>7875</v>
      </c>
    </row>
    <row r="41" spans="2:4" ht="15" customHeight="1" x14ac:dyDescent="0.2">
      <c r="B41" s="60" t="s">
        <v>71</v>
      </c>
      <c r="D41" s="61">
        <f>IF(C7&lt;=500,IF(ISNUMBER(D30),D30,0),IF(ISNUMBER(D36),D36,0))</f>
        <v>1950</v>
      </c>
    </row>
    <row r="42" spans="2:4" ht="30" customHeight="1" x14ac:dyDescent="0.2">
      <c r="B42" s="62" t="s">
        <v>72</v>
      </c>
      <c r="D42" s="63">
        <f>D39+D40+D41</f>
        <v>33825</v>
      </c>
    </row>
    <row r="43" spans="2:4" ht="17.25" customHeight="1" x14ac:dyDescent="0.2">
      <c r="B43" s="53" t="s">
        <v>73</v>
      </c>
      <c r="D43" s="64">
        <f>D42*0.01+ROUND(D42*0.23*0.2,0)</f>
        <v>1894.25</v>
      </c>
    </row>
    <row r="44" spans="2:4" ht="30" customHeight="1" x14ac:dyDescent="0.2">
      <c r="B44" s="65" t="s">
        <v>74</v>
      </c>
      <c r="D44" s="66">
        <f>D42-D43</f>
        <v>31930.75</v>
      </c>
    </row>
  </sheetData>
  <mergeCells count="10">
    <mergeCell ref="B19:D19"/>
    <mergeCell ref="B24:C24"/>
    <mergeCell ref="B26:D26"/>
    <mergeCell ref="B32:D32"/>
    <mergeCell ref="B38:D38"/>
    <mergeCell ref="B2:D2"/>
    <mergeCell ref="B3:D3"/>
    <mergeCell ref="B5:D5"/>
    <mergeCell ref="B12:D12"/>
    <mergeCell ref="B17:C17"/>
  </mergeCells>
  <dataValidations count="3">
    <dataValidation type="list" sqref="C8" xr:uid="{00000000-0002-0000-0000-000000000000}">
      <formula1>"E1 — €95 (Edison,Eni,Iren Revolution),E2 — €80 (Acea Fix,Iren Quick,Fastweb En.),E3 — €55 (Iren Prima Scelta,Illumia,Wekiwi)"</formula1>
      <formula2>0</formula2>
    </dataValidation>
    <dataValidation type="list" sqref="C9" xr:uid="{00000000-0002-0000-0000-000001000000}">
      <formula1>"&lt; 60% → €5,60-65% → €20,65-70% → €30,&gt; 70% → €35"</formula1>
      <formula2>0</formula2>
    </dataValidation>
    <dataValidation type="list" sqref="C10" xr:uid="{00000000-0002-0000-0000-000002000000}">
      <formula1>"50%,55%,60%,65%,70%,75%,80%,85%,90%,95%,100%"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5C518"/>
  </sheetPr>
  <dimension ref="B2:H28"/>
  <sheetViews>
    <sheetView zoomScaleNormal="100" workbookViewId="0">
      <selection activeCell="C8" sqref="C8"/>
    </sheetView>
  </sheetViews>
  <sheetFormatPr baseColWidth="10" defaultColWidth="8.6640625" defaultRowHeight="15" x14ac:dyDescent="0.2"/>
  <cols>
    <col min="1" max="1" width="3" customWidth="1"/>
    <col min="2" max="2" width="46" customWidth="1"/>
    <col min="3" max="3" width="26" customWidth="1"/>
    <col min="4" max="4" width="22" customWidth="1"/>
    <col min="5" max="5" width="4" customWidth="1"/>
    <col min="6" max="6" width="30" customWidth="1"/>
    <col min="7" max="8" width="14" customWidth="1"/>
  </cols>
  <sheetData>
    <row r="2" spans="2:8" ht="20" x14ac:dyDescent="0.2">
      <c r="B2" s="5" t="s">
        <v>75</v>
      </c>
      <c r="C2" s="5"/>
      <c r="D2" s="5"/>
    </row>
    <row r="3" spans="2:8" x14ac:dyDescent="0.2">
      <c r="B3" s="13" t="s">
        <v>76</v>
      </c>
      <c r="C3" s="13"/>
      <c r="D3" s="13"/>
    </row>
    <row r="5" spans="2:8" ht="25.5" customHeight="1" x14ac:dyDescent="0.2">
      <c r="B5" s="4" t="s">
        <v>2</v>
      </c>
      <c r="C5" s="4"/>
      <c r="D5" s="4"/>
      <c r="F5" s="67" t="s">
        <v>77</v>
      </c>
      <c r="G5" s="67" t="s">
        <v>78</v>
      </c>
      <c r="H5" s="67" t="s">
        <v>79</v>
      </c>
    </row>
    <row r="6" spans="2:8" x14ac:dyDescent="0.2">
      <c r="F6" s="34" t="s">
        <v>80</v>
      </c>
      <c r="G6" s="68" t="s">
        <v>81</v>
      </c>
      <c r="H6" s="17" t="s">
        <v>82</v>
      </c>
    </row>
    <row r="7" spans="2:8" ht="30" customHeight="1" x14ac:dyDescent="0.2">
      <c r="B7" s="19" t="s">
        <v>83</v>
      </c>
      <c r="C7" s="24" t="s">
        <v>84</v>
      </c>
      <c r="F7" s="37" t="s">
        <v>85</v>
      </c>
      <c r="G7" s="69" t="s">
        <v>86</v>
      </c>
      <c r="H7" s="22" t="s">
        <v>87</v>
      </c>
    </row>
    <row r="8" spans="2:8" ht="30" customHeight="1" x14ac:dyDescent="0.2">
      <c r="B8" s="19" t="s">
        <v>88</v>
      </c>
      <c r="C8" s="24" t="s">
        <v>80</v>
      </c>
      <c r="F8" s="40" t="s">
        <v>90</v>
      </c>
      <c r="G8" s="70" t="s">
        <v>91</v>
      </c>
      <c r="H8" s="27" t="s">
        <v>92</v>
      </c>
    </row>
    <row r="10" spans="2:8" ht="25.5" customHeight="1" x14ac:dyDescent="0.2">
      <c r="B10" s="4" t="s">
        <v>24</v>
      </c>
      <c r="C10" s="4"/>
      <c r="D10" s="4"/>
      <c r="F10" s="67" t="s">
        <v>93</v>
      </c>
      <c r="G10" s="67" t="s">
        <v>78</v>
      </c>
      <c r="H10" s="67" t="s">
        <v>79</v>
      </c>
    </row>
    <row r="11" spans="2:8" ht="30" customHeight="1" x14ac:dyDescent="0.2">
      <c r="B11" s="34" t="s">
        <v>94</v>
      </c>
      <c r="C11" s="35" t="s">
        <v>95</v>
      </c>
      <c r="D11" s="36">
        <f>IF(C7="Domestico",IF(C8="Standard",40,IF(C8="Silver",80,100)),IF(C7="Condominio",IF(C8="Standard",100,IF(C8="Gold",200,IF(C8="Platinum",350,400))),IF(C8="SA",240,120)))</f>
        <v>100</v>
      </c>
      <c r="F11" s="34" t="s">
        <v>80</v>
      </c>
      <c r="G11" s="68" t="s">
        <v>91</v>
      </c>
      <c r="H11" s="17" t="s">
        <v>96</v>
      </c>
    </row>
    <row r="12" spans="2:8" ht="30" customHeight="1" x14ac:dyDescent="0.2">
      <c r="B12" s="37" t="s">
        <v>97</v>
      </c>
      <c r="C12" s="38" t="s">
        <v>98</v>
      </c>
      <c r="D12" s="71">
        <f>IF(C7="Domestico",IF(C8="Standard",36,IF(C8="Silver",72,90)),IF(C7="Condominio",IF(C8="Standard",50,IF(C8="Gold",175,IF(C8="Platinum",200,300))),IF(C8="SA",180,60)))</f>
        <v>50</v>
      </c>
      <c r="F12" s="37" t="s">
        <v>90</v>
      </c>
      <c r="G12" s="69" t="s">
        <v>99</v>
      </c>
      <c r="H12" s="22" t="s">
        <v>100</v>
      </c>
    </row>
    <row r="13" spans="2:8" ht="30" customHeight="1" x14ac:dyDescent="0.2">
      <c r="B13" s="40" t="s">
        <v>101</v>
      </c>
      <c r="C13" s="72" t="str">
        <f>IF(C7="Domestico","non previsto",IF(C7="Condominio","€5/MWh","€2/MWh"))</f>
        <v>€5/MWh</v>
      </c>
      <c r="D13" s="73">
        <f>IF(C7="Domestico",0,IF(C7="Condominio",5,2))</f>
        <v>5</v>
      </c>
      <c r="F13" s="40" t="s">
        <v>89</v>
      </c>
      <c r="G13" s="70" t="s">
        <v>102</v>
      </c>
      <c r="H13" s="27" t="s">
        <v>99</v>
      </c>
    </row>
    <row r="14" spans="2:8" x14ac:dyDescent="0.2">
      <c r="F14" s="57" t="s">
        <v>103</v>
      </c>
      <c r="G14" s="74" t="s">
        <v>104</v>
      </c>
      <c r="H14" s="49" t="s">
        <v>105</v>
      </c>
    </row>
    <row r="15" spans="2:8" ht="45" customHeight="1" x14ac:dyDescent="0.2">
      <c r="B15" s="3" t="s">
        <v>106</v>
      </c>
      <c r="C15" s="3"/>
      <c r="D15" s="75">
        <f>D11</f>
        <v>100</v>
      </c>
    </row>
    <row r="16" spans="2:8" x14ac:dyDescent="0.2">
      <c r="F16" s="67" t="s">
        <v>107</v>
      </c>
      <c r="G16" s="67" t="s">
        <v>78</v>
      </c>
      <c r="H16" s="67" t="s">
        <v>79</v>
      </c>
    </row>
    <row r="17" spans="2:8" ht="25.5" customHeight="1" x14ac:dyDescent="0.2">
      <c r="B17" s="9" t="s">
        <v>108</v>
      </c>
      <c r="C17" s="9"/>
      <c r="D17" s="9"/>
      <c r="F17" s="34" t="s">
        <v>109</v>
      </c>
      <c r="G17" s="68" t="s">
        <v>110</v>
      </c>
      <c r="H17" s="17" t="s">
        <v>111</v>
      </c>
    </row>
    <row r="18" spans="2:8" ht="27.75" customHeight="1" x14ac:dyDescent="0.2">
      <c r="B18" s="45" t="s">
        <v>40</v>
      </c>
      <c r="D18" s="47">
        <f>ROUND(D15*0.01,2)</f>
        <v>1</v>
      </c>
      <c r="F18" s="37" t="s">
        <v>112</v>
      </c>
      <c r="G18" s="69" t="s">
        <v>113</v>
      </c>
      <c r="H18" s="22" t="s">
        <v>114</v>
      </c>
    </row>
    <row r="19" spans="2:8" ht="27.75" customHeight="1" x14ac:dyDescent="0.2">
      <c r="B19" s="45" t="s">
        <v>42</v>
      </c>
      <c r="D19" s="47">
        <f>ROUND(D15*0.23*0.2,2)</f>
        <v>4.5999999999999996</v>
      </c>
    </row>
    <row r="20" spans="2:8" ht="27.75" customHeight="1" x14ac:dyDescent="0.2">
      <c r="B20" s="45" t="s">
        <v>46</v>
      </c>
      <c r="C20" s="46" t="str">
        <f>TEXT(D20/D15*100,"0.00")&amp;"% del lordo"</f>
        <v>006% del lordo</v>
      </c>
      <c r="D20" s="47">
        <f>D18+D19</f>
        <v>5.6</v>
      </c>
      <c r="F20" s="67" t="s">
        <v>115</v>
      </c>
      <c r="G20" s="76"/>
      <c r="H20" s="67" t="s">
        <v>116</v>
      </c>
    </row>
    <row r="21" spans="2:8" x14ac:dyDescent="0.2">
      <c r="F21" s="77" t="s">
        <v>117</v>
      </c>
      <c r="H21" s="30" t="s">
        <v>118</v>
      </c>
    </row>
    <row r="22" spans="2:8" ht="64.5" customHeight="1" x14ac:dyDescent="0.2">
      <c r="B22" s="8" t="s">
        <v>119</v>
      </c>
      <c r="C22" s="8"/>
      <c r="D22" s="51">
        <f>D15-D20</f>
        <v>94.4</v>
      </c>
      <c r="F22" s="60" t="s">
        <v>120</v>
      </c>
      <c r="H22" s="78" t="s">
        <v>121</v>
      </c>
    </row>
    <row r="23" spans="2:8" x14ac:dyDescent="0.2">
      <c r="F23" s="77" t="s">
        <v>109</v>
      </c>
      <c r="H23" s="79" t="s">
        <v>122</v>
      </c>
    </row>
    <row r="24" spans="2:8" ht="39" x14ac:dyDescent="0.2">
      <c r="B24" s="80" t="s">
        <v>123</v>
      </c>
    </row>
    <row r="25" spans="2:8" x14ac:dyDescent="0.2">
      <c r="F25" s="15" t="s">
        <v>53</v>
      </c>
      <c r="G25" s="81"/>
      <c r="H25" s="15" t="s">
        <v>20</v>
      </c>
    </row>
    <row r="26" spans="2:8" x14ac:dyDescent="0.2">
      <c r="F26" s="53" t="s">
        <v>55</v>
      </c>
      <c r="H26" s="54" t="s">
        <v>56</v>
      </c>
    </row>
    <row r="27" spans="2:8" x14ac:dyDescent="0.2">
      <c r="F27" s="53" t="s">
        <v>58</v>
      </c>
      <c r="H27" s="54" t="s">
        <v>59</v>
      </c>
    </row>
    <row r="28" spans="2:8" x14ac:dyDescent="0.2">
      <c r="F28" s="45" t="s">
        <v>124</v>
      </c>
      <c r="H28" s="55" t="s">
        <v>61</v>
      </c>
    </row>
  </sheetData>
  <mergeCells count="7">
    <mergeCell ref="B17:D17"/>
    <mergeCell ref="B22:C22"/>
    <mergeCell ref="B2:D2"/>
    <mergeCell ref="B3:D3"/>
    <mergeCell ref="B5:D5"/>
    <mergeCell ref="B10:D10"/>
    <mergeCell ref="B15:C15"/>
  </mergeCells>
  <dataValidations count="2">
    <dataValidation type="list" sqref="C7" xr:uid="{00000000-0002-0000-0100-000000000000}">
      <formula1>"Domestico,Condominio,Business"</formula1>
      <formula2>0</formula2>
    </dataValidation>
    <dataValidation type="list" sqref="C8" xr:uid="{00000000-0002-0000-0100-000001000000}">
      <formula1>"Standard,Silver,Gold,Platinum,Diamond,SA"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0000"/>
  </sheetPr>
  <dimension ref="B2:H35"/>
  <sheetViews>
    <sheetView tabSelected="1" topLeftCell="A7" zoomScaleNormal="100" workbookViewId="0"/>
  </sheetViews>
  <sheetFormatPr baseColWidth="10" defaultColWidth="8.6640625" defaultRowHeight="15" x14ac:dyDescent="0.2"/>
  <cols>
    <col min="1" max="1" width="3" customWidth="1"/>
    <col min="2" max="2" width="46" customWidth="1"/>
    <col min="3" max="3" width="26" customWidth="1"/>
    <col min="4" max="4" width="22" customWidth="1"/>
    <col min="5" max="5" width="4" customWidth="1"/>
    <col min="6" max="6" width="32" customWidth="1"/>
    <col min="7" max="8" width="14" customWidth="1"/>
  </cols>
  <sheetData>
    <row r="2" spans="2:8" ht="19.5" customHeight="1" x14ac:dyDescent="0.2">
      <c r="B2" s="2" t="s">
        <v>125</v>
      </c>
      <c r="C2" s="2"/>
      <c r="D2" s="2"/>
    </row>
    <row r="3" spans="2:8" ht="15" customHeight="1" x14ac:dyDescent="0.2">
      <c r="B3" s="13" t="s">
        <v>126</v>
      </c>
      <c r="C3" s="13"/>
      <c r="D3" s="13"/>
    </row>
    <row r="5" spans="2:8" ht="25.5" customHeight="1" x14ac:dyDescent="0.2">
      <c r="B5" s="9" t="s">
        <v>2</v>
      </c>
      <c r="C5" s="9"/>
      <c r="D5" s="9"/>
      <c r="F5" s="44" t="s">
        <v>127</v>
      </c>
      <c r="G5" s="44" t="s">
        <v>78</v>
      </c>
      <c r="H5" s="44" t="s">
        <v>128</v>
      </c>
    </row>
    <row r="6" spans="2:8" ht="15" customHeight="1" x14ac:dyDescent="0.2">
      <c r="F6" s="34" t="s">
        <v>129</v>
      </c>
      <c r="G6" s="82">
        <v>90</v>
      </c>
      <c r="H6" s="17" t="s">
        <v>130</v>
      </c>
    </row>
    <row r="7" spans="2:8" ht="30" customHeight="1" x14ac:dyDescent="0.2">
      <c r="B7" s="19" t="s">
        <v>131</v>
      </c>
      <c r="C7" s="20">
        <v>80</v>
      </c>
      <c r="F7" s="37" t="s">
        <v>132</v>
      </c>
      <c r="G7" s="83">
        <v>60</v>
      </c>
      <c r="H7" s="22" t="s">
        <v>130</v>
      </c>
    </row>
    <row r="8" spans="2:8" ht="30" customHeight="1" x14ac:dyDescent="0.2">
      <c r="B8" s="19" t="s">
        <v>133</v>
      </c>
      <c r="C8" s="24" t="s">
        <v>134</v>
      </c>
      <c r="F8" s="40" t="s">
        <v>135</v>
      </c>
      <c r="G8" s="84">
        <v>40</v>
      </c>
      <c r="H8" s="27" t="s">
        <v>136</v>
      </c>
    </row>
    <row r="9" spans="2:8" ht="30" customHeight="1" x14ac:dyDescent="0.2">
      <c r="B9" s="19" t="s">
        <v>137</v>
      </c>
      <c r="C9" s="24" t="s">
        <v>138</v>
      </c>
    </row>
    <row r="10" spans="2:8" ht="30" customHeight="1" x14ac:dyDescent="0.2">
      <c r="B10" s="19" t="s">
        <v>139</v>
      </c>
      <c r="C10" s="24" t="s">
        <v>140</v>
      </c>
      <c r="F10" s="44" t="s">
        <v>141</v>
      </c>
      <c r="G10" s="44" t="s">
        <v>78</v>
      </c>
      <c r="H10" s="44" t="s">
        <v>128</v>
      </c>
    </row>
    <row r="11" spans="2:8" ht="30" customHeight="1" x14ac:dyDescent="0.2">
      <c r="B11" s="19" t="s">
        <v>142</v>
      </c>
      <c r="C11" s="24" t="s">
        <v>143</v>
      </c>
      <c r="F11" s="34" t="s">
        <v>129</v>
      </c>
      <c r="G11" s="82">
        <v>150</v>
      </c>
      <c r="H11" s="17" t="s">
        <v>144</v>
      </c>
    </row>
    <row r="12" spans="2:8" ht="30" customHeight="1" x14ac:dyDescent="0.2">
      <c r="B12" s="19" t="s">
        <v>145</v>
      </c>
      <c r="C12" s="24" t="s">
        <v>143</v>
      </c>
      <c r="F12" s="37" t="s">
        <v>132</v>
      </c>
      <c r="G12" s="83">
        <v>120</v>
      </c>
      <c r="H12" s="22" t="s">
        <v>146</v>
      </c>
    </row>
    <row r="13" spans="2:8" ht="15" customHeight="1" x14ac:dyDescent="0.2">
      <c r="F13" s="40" t="s">
        <v>135</v>
      </c>
      <c r="G13" s="84">
        <v>90</v>
      </c>
      <c r="H13" s="27" t="s">
        <v>147</v>
      </c>
    </row>
    <row r="14" spans="2:8" ht="25.5" customHeight="1" x14ac:dyDescent="0.2">
      <c r="B14" s="9" t="s">
        <v>148</v>
      </c>
      <c r="C14" s="9"/>
      <c r="D14" s="9"/>
      <c r="F14" s="85" t="s">
        <v>149</v>
      </c>
      <c r="G14" s="86">
        <v>50</v>
      </c>
      <c r="H14" s="30" t="s">
        <v>150</v>
      </c>
    </row>
    <row r="15" spans="2:8" ht="30" customHeight="1" x14ac:dyDescent="0.2">
      <c r="B15" s="34" t="s">
        <v>94</v>
      </c>
      <c r="C15" s="35" t="s">
        <v>95</v>
      </c>
      <c r="D15" s="36">
        <f>IF(C8="Domestico",IF(C9="A",90,IF(C9="M",60,40)),IF(C9="A",150,IF(C9="M",120,IF(C9="B",90,50))))</f>
        <v>90</v>
      </c>
    </row>
    <row r="16" spans="2:8" ht="27.75" customHeight="1" x14ac:dyDescent="0.2">
      <c r="B16" s="37" t="s">
        <v>151</v>
      </c>
      <c r="C16" s="38" t="str">
        <f>IF(C11="Si","attivo","no")</f>
        <v>attivo</v>
      </c>
      <c r="D16" s="71">
        <f>IF(C11="Si",15,0)</f>
        <v>15</v>
      </c>
      <c r="F16" s="44" t="s">
        <v>152</v>
      </c>
      <c r="G16" s="44" t="s">
        <v>153</v>
      </c>
      <c r="H16" s="44" t="s">
        <v>154</v>
      </c>
    </row>
    <row r="17" spans="2:8" ht="27.75" customHeight="1" x14ac:dyDescent="0.2">
      <c r="B17" s="37" t="s">
        <v>155</v>
      </c>
      <c r="C17" s="38" t="str">
        <f>IF(C12="Si","attivo","no")</f>
        <v>attivo</v>
      </c>
      <c r="D17" s="71">
        <f>IF(C12="Si",5,0)</f>
        <v>5</v>
      </c>
      <c r="F17" s="26" t="s">
        <v>156</v>
      </c>
      <c r="G17" s="27" t="s">
        <v>157</v>
      </c>
      <c r="H17" s="84">
        <v>5</v>
      </c>
    </row>
    <row r="18" spans="2:8" ht="27.75" customHeight="1" x14ac:dyDescent="0.2">
      <c r="B18" s="40" t="s">
        <v>158</v>
      </c>
      <c r="C18" s="41" t="str">
        <f>IF(C7&gt;=121,"Fascia 3",IF(C7&gt;=81,"Fascia 2",IF(C7&gt;=50,"Fascia 1","Sotto soglia")))</f>
        <v>Fascia 1</v>
      </c>
      <c r="D18" s="73">
        <f>IF(C7&gt;=121,15,IF(C7&gt;=81,10,IF(C7&gt;=50,5,0)))</f>
        <v>5</v>
      </c>
      <c r="F18" s="26" t="s">
        <v>159</v>
      </c>
      <c r="G18" s="27" t="s">
        <v>160</v>
      </c>
      <c r="H18" s="84">
        <v>10</v>
      </c>
    </row>
    <row r="19" spans="2:8" ht="15" customHeight="1" x14ac:dyDescent="0.2">
      <c r="F19" s="26" t="s">
        <v>161</v>
      </c>
      <c r="G19" s="27" t="s">
        <v>162</v>
      </c>
      <c r="H19" s="84">
        <v>15</v>
      </c>
    </row>
    <row r="20" spans="2:8" ht="45" customHeight="1" x14ac:dyDescent="0.2">
      <c r="B20" s="1" t="s">
        <v>148</v>
      </c>
      <c r="C20" s="1"/>
      <c r="D20" s="87">
        <f>D15+D16+D17+D18</f>
        <v>115</v>
      </c>
    </row>
    <row r="21" spans="2:8" ht="15" customHeight="1" x14ac:dyDescent="0.2">
      <c r="F21" s="44" t="s">
        <v>53</v>
      </c>
      <c r="G21" s="88"/>
      <c r="H21" s="44" t="s">
        <v>20</v>
      </c>
    </row>
    <row r="22" spans="2:8" ht="25.5" customHeight="1" x14ac:dyDescent="0.2">
      <c r="B22" s="9" t="s">
        <v>163</v>
      </c>
      <c r="C22" s="9"/>
      <c r="D22" s="9"/>
      <c r="F22" s="53" t="s">
        <v>164</v>
      </c>
      <c r="H22" s="54" t="s">
        <v>165</v>
      </c>
    </row>
    <row r="23" spans="2:8" ht="27.75" customHeight="1" x14ac:dyDescent="0.2">
      <c r="B23" s="45" t="s">
        <v>166</v>
      </c>
      <c r="C23" s="46" t="s">
        <v>167</v>
      </c>
      <c r="D23" s="47">
        <f>ROUND(D20*0.22,2)</f>
        <v>25.3</v>
      </c>
      <c r="F23" s="53" t="s">
        <v>55</v>
      </c>
      <c r="H23" s="54" t="s">
        <v>56</v>
      </c>
    </row>
    <row r="24" spans="2:8" ht="27.75" customHeight="1" x14ac:dyDescent="0.2">
      <c r="B24" s="45" t="s">
        <v>40</v>
      </c>
      <c r="C24" s="46" t="s">
        <v>167</v>
      </c>
      <c r="D24" s="47">
        <f>ROUND(D20*0.01,2)</f>
        <v>1.1499999999999999</v>
      </c>
      <c r="F24" s="53" t="s">
        <v>58</v>
      </c>
      <c r="H24" s="54" t="s">
        <v>59</v>
      </c>
    </row>
    <row r="25" spans="2:8" ht="27.75" customHeight="1" x14ac:dyDescent="0.2">
      <c r="B25" s="45" t="s">
        <v>42</v>
      </c>
      <c r="C25" s="46" t="s">
        <v>43</v>
      </c>
      <c r="D25" s="47">
        <f>ROUND(D20*0.23*0.2,2)</f>
        <v>5.29</v>
      </c>
      <c r="F25" s="45" t="s">
        <v>168</v>
      </c>
      <c r="H25" s="55" t="s">
        <v>169</v>
      </c>
    </row>
    <row r="26" spans="2:8" ht="27.75" customHeight="1" x14ac:dyDescent="0.2">
      <c r="B26" s="45" t="s">
        <v>46</v>
      </c>
      <c r="C26" s="46" t="str">
        <f>TEXT(D26/D20*100,"0.00")&amp;"% del lordo"</f>
        <v>028% del lordo</v>
      </c>
      <c r="D26" s="47">
        <f>D23+D24+D25</f>
        <v>31.74</v>
      </c>
    </row>
    <row r="28" spans="2:8" ht="64.5" customHeight="1" x14ac:dyDescent="0.2">
      <c r="B28" s="8" t="s">
        <v>170</v>
      </c>
      <c r="C28" s="8"/>
      <c r="D28" s="51">
        <f>D20-D26</f>
        <v>83.26</v>
      </c>
    </row>
    <row r="30" spans="2:8" ht="25.5" customHeight="1" x14ac:dyDescent="0.2">
      <c r="B30" s="7" t="s">
        <v>171</v>
      </c>
      <c r="C30" s="7"/>
      <c r="D30" s="7"/>
    </row>
    <row r="31" spans="2:8" ht="27.75" customHeight="1" x14ac:dyDescent="0.2">
      <c r="B31" s="40" t="s">
        <v>172</v>
      </c>
      <c r="C31" s="72" t="s">
        <v>173</v>
      </c>
      <c r="D31" s="89">
        <f>IF(C8="Domestico",IF(C9="A",0.01,IF(C9="M",0.01,0.003)),IF(C9="A",0.004,IF(C9="M",0.003,IF(C9="B",0.002,0.0015))))</f>
        <v>0.01</v>
      </c>
    </row>
    <row r="32" spans="2:8" ht="27.75" customHeight="1" x14ac:dyDescent="0.2">
      <c r="B32" s="40" t="s">
        <v>174</v>
      </c>
      <c r="C32" s="72" t="s">
        <v>173</v>
      </c>
      <c r="D32" s="90">
        <f>IF(C8="Domestico",IF(C9="A",0.05,IF(C9="M",0.05,0.02)),IF(C9="A",0.04,IF(C9="M",0.03,IF(C9="B",0.02,0.01))))</f>
        <v>0.05</v>
      </c>
    </row>
    <row r="33" spans="2:4" ht="27.75" customHeight="1" x14ac:dyDescent="0.2">
      <c r="B33" s="40" t="s">
        <v>175</v>
      </c>
      <c r="C33" s="72" t="s">
        <v>176</v>
      </c>
      <c r="D33" s="90">
        <f>IF(C8="Domestico",IF(C9="A",4,IF(C9="M",3,2)),IF(C9="A",7,IF(C9="M",6,IF(C9="B",5,0))))</f>
        <v>4</v>
      </c>
    </row>
    <row r="35" spans="2:4" ht="32.25" customHeight="1" x14ac:dyDescent="0.2">
      <c r="B35" s="80" t="s">
        <v>177</v>
      </c>
    </row>
  </sheetData>
  <mergeCells count="8">
    <mergeCell ref="B22:D22"/>
    <mergeCell ref="B28:C28"/>
    <mergeCell ref="B30:D30"/>
    <mergeCell ref="B2:D2"/>
    <mergeCell ref="B3:D3"/>
    <mergeCell ref="B5:D5"/>
    <mergeCell ref="B14:D14"/>
    <mergeCell ref="B20:C20"/>
  </mergeCells>
  <dataValidations count="4">
    <dataValidation type="list" sqref="C8" xr:uid="{00000000-0002-0000-0200-000000000000}">
      <formula1>"Domestico,Altri usi"</formula1>
      <formula2>0</formula2>
    </dataValidation>
    <dataValidation type="list" sqref="C9" xr:uid="{00000000-0002-0000-0200-000001000000}">
      <formula1>"A,M,B,L"</formula1>
      <formula2>0</formula2>
    </dataValidation>
    <dataValidation type="list" sqref="C10" xr:uid="{00000000-0002-0000-0200-000002000000}">
      <formula1>"Energia Elettrica,Gas"</formula1>
      <formula2>0</formula2>
    </dataValidation>
    <dataValidation type="list" sqref="C11:C12" xr:uid="{00000000-0002-0000-0200-000003000000}">
      <formula1>"Si,No"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Compenso per Contratto</vt:lpstr>
      <vt:lpstr>AGN Energia</vt:lpstr>
      <vt:lpstr>Magis Energia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Marco Tarantini</cp:lastModifiedBy>
  <cp:revision>0</cp:revision>
  <dcterms:created xsi:type="dcterms:W3CDTF">2026-03-30T21:27:13Z</dcterms:created>
  <dcterms:modified xsi:type="dcterms:W3CDTF">2026-03-30T22:13:55Z</dcterms:modified>
  <dc:language>en-US</dc:language>
</cp:coreProperties>
</file>