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l mio Drive\Ammnistrazione - dati nas 30 04\COMPENSI AGENTI\MADE\2026\Aprile\"/>
    </mc:Choice>
  </mc:AlternateContent>
  <xr:revisionPtr revIDLastSave="0" documentId="13_ncr:1_{8EA55805-9B65-4D1A-A4C9-7E4E20908B00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VODAFONE" sheetId="21" r:id="rId1"/>
    <sheet name="FASTWEB" sheetId="24" r:id="rId2"/>
    <sheet name="WIND3" sheetId="13" r:id="rId3"/>
    <sheet name="TIM" sheetId="14" r:id="rId4"/>
    <sheet name="ENEL ENERGIA" sheetId="6" r:id="rId5"/>
    <sheet name="PLENITUDE" sheetId="15" r:id="rId6"/>
    <sheet name="EDISON" sheetId="25" r:id="rId7"/>
    <sheet name="HERA" sheetId="26" r:id="rId8"/>
    <sheet name="ARGOS" sheetId="8" r:id="rId9"/>
    <sheet name="LUCE E GAS" sheetId="19" r:id="rId10"/>
    <sheet name="SENTRA" sheetId="17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6" l="1"/>
  <c r="F3" i="6"/>
</calcChain>
</file>

<file path=xl/sharedStrings.xml><?xml version="1.0" encoding="utf-8"?>
<sst xmlns="http://schemas.openxmlformats.org/spreadsheetml/2006/main" count="321" uniqueCount="150">
  <si>
    <t>Luce</t>
  </si>
  <si>
    <t>Gas</t>
  </si>
  <si>
    <t>PIANO COMPENSI</t>
  </si>
  <si>
    <t>RES</t>
  </si>
  <si>
    <r>
      <rPr>
        <b/>
        <sz val="12"/>
        <color rgb="FFFFFFFF"/>
        <rFont val="Calibri"/>
        <family val="2"/>
      </rPr>
      <t>PRODOTTO</t>
    </r>
  </si>
  <si>
    <r>
      <rPr>
        <b/>
        <sz val="12"/>
        <color rgb="FFFFFFFF"/>
        <rFont val="Calibri"/>
        <family val="2"/>
      </rPr>
      <t>GETTONE MASSIMO</t>
    </r>
  </si>
  <si>
    <r>
      <rPr>
        <b/>
        <sz val="12"/>
        <color rgb="FFFFFFFF"/>
        <rFont val="Calibri"/>
        <family val="2"/>
      </rPr>
      <t>GETTONE</t>
    </r>
  </si>
  <si>
    <t>ENEL ENERGIA</t>
  </si>
  <si>
    <t>GETTONE</t>
  </si>
  <si>
    <t>BUS</t>
  </si>
  <si>
    <t>STORNO</t>
  </si>
  <si>
    <t>Denuncia da parte di Autorità Giudiziarie</t>
  </si>
  <si>
    <t>Provvedimenti Cautelari/Sanzionatori/Giudiziari</t>
  </si>
  <si>
    <t>SSD Residenziale</t>
  </si>
  <si>
    <t>SSD Business</t>
  </si>
  <si>
    <t>NO</t>
  </si>
  <si>
    <t>Obbligatorio</t>
  </si>
  <si>
    <t>NON Obbligatorio</t>
  </si>
  <si>
    <t>100% entro 6 mesi dalla data di attivazione della fornitura</t>
  </si>
  <si>
    <t>100% entro 3 mesi dalla data di attivazione della fornitura</t>
  </si>
  <si>
    <t>RID + BOLLETTA WEB</t>
  </si>
  <si>
    <t>Compenso Unitario</t>
  </si>
  <si>
    <t>STORNO FISSO RES</t>
  </si>
  <si>
    <t>Tutte le offerte</t>
  </si>
  <si>
    <t>Piani RES Fisso</t>
  </si>
  <si>
    <t>Tutte le Offerte</t>
  </si>
  <si>
    <t xml:space="preserve">OFFICE MAXI 8 CANALI VOCE </t>
  </si>
  <si>
    <t>OFFICE PLUS SPECIAL 1 CANALE VOCE</t>
  </si>
  <si>
    <t>OFFICE PLUS 2 CANALI VOCE</t>
  </si>
  <si>
    <t>OFFICE MAXI 3 CANALI VOCE</t>
  </si>
  <si>
    <t>OFFICE MAXI 4 CANALI VOCE</t>
  </si>
  <si>
    <t>OFFICE MAXI 5 CANALI VOCE</t>
  </si>
  <si>
    <t>OFFICE MAXI 6 CANALI VOCE</t>
  </si>
  <si>
    <t>OFFICE MAXI 7 CANALI VOCE</t>
  </si>
  <si>
    <t>SIM</t>
  </si>
  <si>
    <t>CONNECT FTTC/FTTH</t>
  </si>
  <si>
    <t>CONNECT BEA/PONTE RADIO/FWA</t>
  </si>
  <si>
    <t>CONNECT TERMENATING ETHERNET</t>
  </si>
  <si>
    <t>CONNECT RADIOLINK EOLO</t>
  </si>
  <si>
    <t>SOLO SERVIZIO, NO HARDWARE</t>
  </si>
  <si>
    <t>CANONI A T0</t>
  </si>
  <si>
    <t>CANONI A T8</t>
  </si>
  <si>
    <t>Piani BUSINESS</t>
  </si>
  <si>
    <t>SSD</t>
  </si>
  <si>
    <t>STORNO BUSINESS</t>
  </si>
  <si>
    <t>Storno + Penale</t>
  </si>
  <si>
    <t>RID +BOLLETTA WEB</t>
  </si>
  <si>
    <t>PLENITUDE</t>
  </si>
  <si>
    <t>SENTRA</t>
  </si>
  <si>
    <t>LUCE E GAS ITALIA</t>
  </si>
  <si>
    <t>NON Obbligatorio, in assenza O PER MANCATO AGGANCIO rid compenso al 50%</t>
  </si>
  <si>
    <t>ULL</t>
  </si>
  <si>
    <t>NIP</t>
  </si>
  <si>
    <t>Piani RES Pacchetti TV</t>
  </si>
  <si>
    <t>Piani RES Opzioni</t>
  </si>
  <si>
    <t>Opz. VOCE (solo se opzione a pagamento e non gratuita)</t>
  </si>
  <si>
    <t>Opz. MOBILE (solo se opzione a pagamento e non gratuita)</t>
  </si>
  <si>
    <t>TIM VISION CON PACCHETTO GOLD</t>
  </si>
  <si>
    <t>TIM VISION CON CALCIO E SPORT</t>
  </si>
  <si>
    <t>TIM VISION CON NETFLIX</t>
  </si>
  <si>
    <t>TIM VISION FAMILY</t>
  </si>
  <si>
    <t>TIM VISION INTRATTENIMENTO (NO Promo)</t>
  </si>
  <si>
    <t>100% + € 300 in caso di vendite doppie (cessazione e attivazione linea)</t>
  </si>
  <si>
    <t>FIBRA</t>
  </si>
  <si>
    <t>Zone commericializzazione Escluse</t>
  </si>
  <si>
    <t>Campania, Calabria, Basilicata</t>
  </si>
  <si>
    <t xml:space="preserve">BUSINESS </t>
  </si>
  <si>
    <t xml:space="preserve">One Net Ufficio/Azienda </t>
  </si>
  <si>
    <t>Fissa Smart/Comfort/Extra</t>
  </si>
  <si>
    <t>6 CANONI*</t>
  </si>
  <si>
    <t>Extra Servizi Fissa</t>
  </si>
  <si>
    <t>4 CANONI*</t>
  </si>
  <si>
    <t>Easy Deal</t>
  </si>
  <si>
    <t>2 CANONI*</t>
  </si>
  <si>
    <t>Sim</t>
  </si>
  <si>
    <t>* In caso di cliente già Vodafone verrà sottratto un canone</t>
  </si>
  <si>
    <t>90 % Minimo</t>
  </si>
  <si>
    <t>STORNO FISSO BUSINESS</t>
  </si>
  <si>
    <t>100% entro 12 mesi dalla data di attivazione della fornitura</t>
  </si>
  <si>
    <t>STORNO MOBILE BUSINESS</t>
  </si>
  <si>
    <t>Piani BUS Fisso SOHO</t>
  </si>
  <si>
    <t>Piani BUS Fisso SME</t>
  </si>
  <si>
    <t>3 CANONI*</t>
  </si>
  <si>
    <t>Piani BUS Mobile</t>
  </si>
  <si>
    <t>Metodo Contrattualizzazione RES</t>
  </si>
  <si>
    <t>Metodo Contrattualizzazione BUS</t>
  </si>
  <si>
    <t>Cartaceo o OTP</t>
  </si>
  <si>
    <t>OTP</t>
  </si>
  <si>
    <t>Cartaceo</t>
  </si>
  <si>
    <t>Obbligatorio, in assenza O PER MANCATO AGGANCIO rid compenso al 50%</t>
  </si>
  <si>
    <t>OPZIONE</t>
  </si>
  <si>
    <t>Adotta un Pannello</t>
  </si>
  <si>
    <t>PROMO WEB</t>
  </si>
  <si>
    <t>SUBENTRO</t>
  </si>
  <si>
    <t>NON REMUNERATO</t>
  </si>
  <si>
    <t>PROMO SEGNALATE</t>
  </si>
  <si>
    <t>ARGOS</t>
  </si>
  <si>
    <t>100% entro 1 mese dalla data di attivazione della fornitura</t>
  </si>
  <si>
    <t>FASTWEB</t>
  </si>
  <si>
    <t xml:space="preserve">Piani RES Fisso </t>
  </si>
  <si>
    <t>Fastweb Casa FWA</t>
  </si>
  <si>
    <t>Piani RES Mobile</t>
  </si>
  <si>
    <t xml:space="preserve">Piani SHP Fisso </t>
  </si>
  <si>
    <t>Fastweb Business Light</t>
  </si>
  <si>
    <t>Fastweb Business</t>
  </si>
  <si>
    <t>Piani SHP Mobile</t>
  </si>
  <si>
    <t xml:space="preserve">Nexxt Mobile Business </t>
  </si>
  <si>
    <t>Nexxt Mobile Business Freedom</t>
  </si>
  <si>
    <t>Nexxt Mobile Business Unlimited</t>
  </si>
  <si>
    <t>Piani ENERGIA</t>
  </si>
  <si>
    <t>Fastweb FLEX</t>
  </si>
  <si>
    <t>Switch/Switch con Voltura/Subentro</t>
  </si>
  <si>
    <t>Fastweb FIX</t>
  </si>
  <si>
    <t>Solo Switch</t>
  </si>
  <si>
    <t>Fastweb LIGHT/FULL/MAXI</t>
  </si>
  <si>
    <t>Fastweb Casa Ultra</t>
  </si>
  <si>
    <t>Fastweb Casa Pro</t>
  </si>
  <si>
    <t>Fastweb Casa Start</t>
  </si>
  <si>
    <t>Fastweb Casa FWA Start</t>
  </si>
  <si>
    <t>Fastweb Mobile Start</t>
  </si>
  <si>
    <t>Fastweb Mobile Pro</t>
  </si>
  <si>
    <t>Fastweb Mobile Ultra</t>
  </si>
  <si>
    <t>Fastweb Business Plus</t>
  </si>
  <si>
    <t>Fastweb Business Pro</t>
  </si>
  <si>
    <t>TIM</t>
  </si>
  <si>
    <t>Disconoscimento/Segnalazione/Numero di altra persona</t>
  </si>
  <si>
    <t>7 CANONI*</t>
  </si>
  <si>
    <t>Churn 6 mesi</t>
  </si>
  <si>
    <t>&lt; 20%</t>
  </si>
  <si>
    <t xml:space="preserve"> &lt;20%</t>
  </si>
  <si>
    <t>FASTWEB+VODAFONE</t>
  </si>
  <si>
    <t>5 CANONI*</t>
  </si>
  <si>
    <t>Easy Rent</t>
  </si>
  <si>
    <t>Bundle SDM + MOVYLO (digital)</t>
  </si>
  <si>
    <t>Digital Tutto</t>
  </si>
  <si>
    <t>PA</t>
  </si>
  <si>
    <t>2 CANONI</t>
  </si>
  <si>
    <t>STORNO DIGITAL BUSINESS</t>
  </si>
  <si>
    <t>Disconoscimento/Segnalazione</t>
  </si>
  <si>
    <t>100% entro 9 mesi dalla data di attivazione della fornitura</t>
  </si>
  <si>
    <t>Non Obbligatorio</t>
  </si>
  <si>
    <t>STORNO FISSO BUS</t>
  </si>
  <si>
    <t>100% entro 10 mesi dalla data di attivazione della fornitura</t>
  </si>
  <si>
    <t>100% entro 2 mesi dalla data di attivazione della fornitura</t>
  </si>
  <si>
    <t>EDISON</t>
  </si>
  <si>
    <t xml:space="preserve">WIND3 </t>
  </si>
  <si>
    <t>OBBLIGATORIO, PER MANCATO AGGANCIO rid compenso al 50%</t>
  </si>
  <si>
    <t>RES INDICIZZATO</t>
  </si>
  <si>
    <t>RES FISSO</t>
  </si>
  <si>
    <r>
      <t>HERA</t>
    </r>
    <r>
      <rPr>
        <sz val="24"/>
        <color rgb="FFFF33CC"/>
        <rFont val="Calibri"/>
        <family val="2"/>
        <scheme val="minor"/>
      </rPr>
      <t>comm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</si>
</sst>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\ \€"/>
    <numFmt numFmtId="165" formatCode="[$€-2]\ #,##0.00;[Red]\-[$€-2]\ #,##0.00"/>
    <numFmt numFmtId="166" formatCode="_-&quot;€ &quot;* #,##0.00_-;&quot;-€ &quot;* #,##0.00_-;_-&quot;€ &quot;* \-??_-;_-@_-"/>
  </numFmts>
  <fonts count="50" x14ac:knownFonts="1">
    <font>
      <sz val="11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24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indexed="9"/>
      <name val="Calibri"/>
      <family val="2"/>
    </font>
    <font>
      <sz val="12"/>
      <color indexed="8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8"/>
      <color theme="0"/>
      <name val="Calibri"/>
      <family val="2"/>
    </font>
    <font>
      <b/>
      <sz val="12"/>
      <color rgb="FFFF0000"/>
      <name val="Calibri"/>
      <family val="2"/>
    </font>
    <font>
      <b/>
      <sz val="12"/>
      <color rgb="FFF3822D"/>
      <name val="Calibri"/>
      <family val="2"/>
    </font>
    <font>
      <b/>
      <sz val="12"/>
      <color indexed="8"/>
      <name val="Calibri"/>
      <family val="2"/>
    </font>
    <font>
      <b/>
      <sz val="11"/>
      <color rgb="FF0000A8"/>
      <name val="Calibri"/>
      <family val="2"/>
      <scheme val="minor"/>
    </font>
    <font>
      <b/>
      <sz val="11"/>
      <color rgb="FFF1700F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5"/>
      <name val="Calibri"/>
      <family val="2"/>
    </font>
    <font>
      <b/>
      <sz val="12"/>
      <color rgb="FFF1700F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rgb="FFFFC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8"/>
      <color indexed="52"/>
      <name val="Calibri"/>
      <family val="2"/>
    </font>
    <font>
      <b/>
      <sz val="12"/>
      <color indexed="10"/>
      <name val="Calibri"/>
      <family val="2"/>
    </font>
    <font>
      <b/>
      <sz val="12"/>
      <color indexed="52"/>
      <name val="Calibri"/>
      <family val="2"/>
    </font>
    <font>
      <b/>
      <sz val="11"/>
      <color rgb="FF0070C0"/>
      <name val="Calibri"/>
      <family val="2"/>
      <scheme val="minor"/>
    </font>
    <font>
      <b/>
      <sz val="24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4"/>
      <color rgb="FFFF33CC"/>
      <name val="Calibri"/>
      <family val="2"/>
      <scheme val="minor"/>
    </font>
    <font>
      <sz val="24"/>
      <color rgb="FFFF33CC"/>
      <name val="Calibri"/>
      <family val="2"/>
      <scheme val="minor"/>
    </font>
    <font>
      <sz val="11"/>
      <color rgb="FFFF33CC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1F1F1"/>
      </patternFill>
    </fill>
    <fill>
      <patternFill patternType="solid">
        <fgColor rgb="FFFBE3D5"/>
      </patternFill>
    </fill>
    <fill>
      <patternFill patternType="solid">
        <fgColor rgb="FF4471C4"/>
      </patternFill>
    </fill>
    <fill>
      <patternFill patternType="solid">
        <fgColor rgb="FFD9E0F1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52"/>
      </patternFill>
    </fill>
    <fill>
      <patternFill patternType="solid">
        <fgColor rgb="FF0000A8"/>
        <bgColor indexed="26"/>
      </patternFill>
    </fill>
    <fill>
      <patternFill patternType="solid">
        <fgColor rgb="FF0000A8"/>
        <bgColor indexed="21"/>
      </patternFill>
    </fill>
    <fill>
      <patternFill patternType="solid">
        <fgColor rgb="FFF1700F"/>
        <bgColor indexed="26"/>
      </patternFill>
    </fill>
    <fill>
      <patternFill patternType="solid">
        <fgColor rgb="FFF1700F"/>
        <bgColor indexed="21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51"/>
        <bgColor indexed="5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C7C30"/>
      </bottom>
      <diagonal/>
    </border>
    <border>
      <left/>
      <right/>
      <top style="thin">
        <color rgb="FFEC7C30"/>
      </top>
      <bottom style="thin">
        <color rgb="FFEC7C2E"/>
      </bottom>
      <diagonal/>
    </border>
    <border>
      <left style="thin">
        <color rgb="FFFFFFFF"/>
      </left>
      <right style="thin">
        <color rgb="FFFFFFFF"/>
      </right>
      <top/>
      <bottom style="thin">
        <color rgb="FF5B9BD4"/>
      </bottom>
      <diagonal/>
    </border>
    <border>
      <left/>
      <right/>
      <top style="thin">
        <color rgb="FF5B9BD4"/>
      </top>
      <bottom style="thin">
        <color rgb="FF5B9BD4"/>
      </bottom>
      <diagonal/>
    </border>
    <border>
      <left/>
      <right style="thin">
        <color rgb="FFFFFFFF"/>
      </right>
      <top style="thin">
        <color rgb="FF5B9BD4"/>
      </top>
      <bottom style="thin">
        <color rgb="FF5B9BD4"/>
      </bottom>
      <diagonal/>
    </border>
    <border>
      <left style="thin">
        <color rgb="FFFFFFFF"/>
      </left>
      <right style="thin">
        <color rgb="FFFFFFFF"/>
      </right>
      <top/>
      <bottom style="thin">
        <color rgb="FF4471C4"/>
      </bottom>
      <diagonal/>
    </border>
    <border>
      <left/>
      <right style="thin">
        <color rgb="FFFFFFFF"/>
      </right>
      <top/>
      <bottom style="thin">
        <color rgb="FF5B9B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4" fontId="9" fillId="0" borderId="0" applyFont="0" applyFill="0" applyBorder="0" applyAlignment="0" applyProtection="0"/>
    <xf numFmtId="0" fontId="11" fillId="0" borderId="0"/>
    <xf numFmtId="0" fontId="14" fillId="0" borderId="0"/>
    <xf numFmtId="166" fontId="11" fillId="0" borderId="0"/>
    <xf numFmtId="9" fontId="11" fillId="0" borderId="0"/>
    <xf numFmtId="44" fontId="2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3" fillId="5" borderId="7" xfId="0" applyFont="1" applyFill="1" applyBorder="1" applyAlignment="1">
      <alignment horizontal="left" vertical="top" wrapText="1" indent="2"/>
    </xf>
    <xf numFmtId="0" fontId="3" fillId="5" borderId="1" xfId="0" applyFont="1" applyFill="1" applyBorder="1" applyAlignment="1">
      <alignment horizontal="right" vertical="top" wrapText="1"/>
    </xf>
    <xf numFmtId="164" fontId="6" fillId="0" borderId="8" xfId="0" applyNumberFormat="1" applyFont="1" applyBorder="1" applyAlignment="1">
      <alignment horizontal="right" vertical="top" shrinkToFit="1"/>
    </xf>
    <xf numFmtId="164" fontId="6" fillId="0" borderId="9" xfId="0" applyNumberFormat="1" applyFont="1" applyBorder="1" applyAlignment="1">
      <alignment horizontal="right" vertical="top" shrinkToFit="1"/>
    </xf>
    <xf numFmtId="164" fontId="7" fillId="6" borderId="10" xfId="0" applyNumberFormat="1" applyFont="1" applyFill="1" applyBorder="1" applyAlignment="1">
      <alignment horizontal="right" vertical="top" shrinkToFit="1"/>
    </xf>
    <xf numFmtId="0" fontId="3" fillId="5" borderId="11" xfId="0" applyFont="1" applyFill="1" applyBorder="1" applyAlignment="1">
      <alignment horizontal="left" vertical="top" wrapText="1" indent="4"/>
    </xf>
    <xf numFmtId="0" fontId="5" fillId="0" borderId="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 wrapText="1"/>
    </xf>
    <xf numFmtId="164" fontId="6" fillId="0" borderId="5" xfId="0" applyNumberFormat="1" applyFont="1" applyBorder="1" applyAlignment="1">
      <alignment horizontal="center" vertical="top" shrinkToFit="1"/>
    </xf>
    <xf numFmtId="0" fontId="5" fillId="0" borderId="6" xfId="0" applyFont="1" applyBorder="1" applyAlignment="1">
      <alignment horizontal="center" vertical="top" wrapText="1"/>
    </xf>
    <xf numFmtId="164" fontId="6" fillId="0" borderId="6" xfId="0" applyNumberFormat="1" applyFont="1" applyBorder="1" applyAlignment="1">
      <alignment horizontal="center" vertical="top" shrinkToFit="1"/>
    </xf>
    <xf numFmtId="164" fontId="7" fillId="4" borderId="5" xfId="0" applyNumberFormat="1" applyFont="1" applyFill="1" applyBorder="1" applyAlignment="1">
      <alignment horizontal="center" vertical="top" shrinkToFit="1"/>
    </xf>
    <xf numFmtId="164" fontId="7" fillId="4" borderId="6" xfId="0" applyNumberFormat="1" applyFont="1" applyFill="1" applyBorder="1" applyAlignment="1">
      <alignment horizontal="center" vertical="top" shrinkToFit="1"/>
    </xf>
    <xf numFmtId="165" fontId="0" fillId="0" borderId="0" xfId="0" applyNumberFormat="1" applyAlignment="1">
      <alignment horizontal="center"/>
    </xf>
    <xf numFmtId="0" fontId="13" fillId="0" borderId="4" xfId="2" applyFont="1" applyBorder="1"/>
    <xf numFmtId="44" fontId="13" fillId="0" borderId="4" xfId="1" applyFont="1" applyBorder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2" fillId="8" borderId="4" xfId="2" applyFont="1" applyFill="1" applyBorder="1" applyAlignment="1">
      <alignment horizontal="center" vertical="center"/>
    </xf>
    <xf numFmtId="166" fontId="20" fillId="0" borderId="4" xfId="2" applyNumberFormat="1" applyFont="1" applyBorder="1"/>
    <xf numFmtId="0" fontId="21" fillId="0" borderId="0" xfId="0" applyFont="1" applyAlignment="1">
      <alignment horizontal="left"/>
    </xf>
    <xf numFmtId="0" fontId="5" fillId="0" borderId="8" xfId="0" applyFont="1" applyBorder="1" applyAlignment="1">
      <alignment horizontal="center" vertical="top" wrapText="1"/>
    </xf>
    <xf numFmtId="164" fontId="6" fillId="0" borderId="8" xfId="0" applyNumberFormat="1" applyFont="1" applyBorder="1" applyAlignment="1">
      <alignment horizontal="center" vertical="top" shrinkToFit="1"/>
    </xf>
    <xf numFmtId="0" fontId="18" fillId="0" borderId="4" xfId="2" applyFont="1" applyBorder="1" applyAlignment="1">
      <alignment horizontal="left" vertical="center"/>
    </xf>
    <xf numFmtId="0" fontId="22" fillId="0" borderId="0" xfId="0" applyFont="1"/>
    <xf numFmtId="0" fontId="26" fillId="0" borderId="4" xfId="2" applyFont="1" applyBorder="1" applyAlignment="1">
      <alignment horizontal="left" vertical="center"/>
    </xf>
    <xf numFmtId="0" fontId="25" fillId="0" borderId="4" xfId="2" applyFont="1" applyBorder="1"/>
    <xf numFmtId="2" fontId="25" fillId="0" borderId="4" xfId="2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4" xfId="0" applyFont="1" applyBorder="1"/>
    <xf numFmtId="2" fontId="15" fillId="0" borderId="4" xfId="0" applyNumberFormat="1" applyFont="1" applyBorder="1" applyAlignment="1">
      <alignment horizontal="center"/>
    </xf>
    <xf numFmtId="0" fontId="0" fillId="0" borderId="4" xfId="0" applyBorder="1"/>
    <xf numFmtId="2" fontId="27" fillId="14" borderId="4" xfId="2" applyNumberFormat="1" applyFont="1" applyFill="1" applyBorder="1" applyAlignment="1">
      <alignment horizontal="center" vertical="center"/>
    </xf>
    <xf numFmtId="0" fontId="19" fillId="0" borderId="0" xfId="2" applyFont="1" applyAlignment="1">
      <alignment vertical="center"/>
    </xf>
    <xf numFmtId="0" fontId="13" fillId="0" borderId="0" xfId="2" applyFont="1"/>
    <xf numFmtId="166" fontId="20" fillId="0" borderId="0" xfId="2" applyNumberFormat="1" applyFont="1"/>
    <xf numFmtId="0" fontId="29" fillId="5" borderId="7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top" wrapText="1"/>
    </xf>
    <xf numFmtId="164" fontId="7" fillId="6" borderId="19" xfId="0" applyNumberFormat="1" applyFont="1" applyFill="1" applyBorder="1" applyAlignment="1">
      <alignment horizontal="right" vertical="top" shrinkToFit="1"/>
    </xf>
    <xf numFmtId="0" fontId="15" fillId="0" borderId="4" xfId="3" applyFont="1" applyBorder="1"/>
    <xf numFmtId="0" fontId="15" fillId="0" borderId="4" xfId="3" applyFont="1" applyBorder="1" applyAlignment="1">
      <alignment horizontal="center"/>
    </xf>
    <xf numFmtId="0" fontId="15" fillId="0" borderId="0" xfId="3" applyFont="1"/>
    <xf numFmtId="0" fontId="16" fillId="0" borderId="0" xfId="0" applyFont="1"/>
    <xf numFmtId="44" fontId="2" fillId="0" borderId="4" xfId="8" applyFont="1" applyBorder="1"/>
    <xf numFmtId="0" fontId="36" fillId="0" borderId="0" xfId="0" applyFont="1"/>
    <xf numFmtId="0" fontId="21" fillId="0" borderId="0" xfId="0" applyFont="1"/>
    <xf numFmtId="0" fontId="3" fillId="15" borderId="3" xfId="0" applyFont="1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center" vertical="top" wrapText="1"/>
    </xf>
    <xf numFmtId="0" fontId="3" fillId="15" borderId="2" xfId="0" applyFont="1" applyFill="1" applyBorder="1" applyAlignment="1">
      <alignment horizontal="center" vertical="top" wrapText="1"/>
    </xf>
    <xf numFmtId="164" fontId="7" fillId="16" borderId="5" xfId="0" applyNumberFormat="1" applyFont="1" applyFill="1" applyBorder="1" applyAlignment="1">
      <alignment horizontal="center" vertical="top" shrinkToFit="1"/>
    </xf>
    <xf numFmtId="164" fontId="7" fillId="16" borderId="6" xfId="0" applyNumberFormat="1" applyFont="1" applyFill="1" applyBorder="1" applyAlignment="1">
      <alignment horizontal="center" vertical="top" shrinkToFit="1"/>
    </xf>
    <xf numFmtId="0" fontId="29" fillId="15" borderId="1" xfId="0" applyFont="1" applyFill="1" applyBorder="1" applyAlignment="1">
      <alignment horizontal="center" vertical="top" wrapText="1"/>
    </xf>
    <xf numFmtId="0" fontId="42" fillId="0" borderId="12" xfId="2" applyFont="1" applyBorder="1" applyAlignment="1">
      <alignment horizontal="left" vertical="center"/>
    </xf>
    <xf numFmtId="0" fontId="12" fillId="19" borderId="4" xfId="2" applyFont="1" applyFill="1" applyBorder="1" applyAlignment="1">
      <alignment horizontal="center" vertical="center"/>
    </xf>
    <xf numFmtId="0" fontId="42" fillId="0" borderId="13" xfId="2" applyFont="1" applyBorder="1" applyAlignment="1">
      <alignment horizontal="left" vertical="center"/>
    </xf>
    <xf numFmtId="44" fontId="20" fillId="0" borderId="4" xfId="1" applyFont="1" applyBorder="1" applyAlignment="1">
      <alignment horizontal="center"/>
    </xf>
    <xf numFmtId="0" fontId="42" fillId="0" borderId="4" xfId="2" applyFont="1" applyBorder="1" applyAlignment="1">
      <alignment horizontal="left" vertical="center"/>
    </xf>
    <xf numFmtId="44" fontId="2" fillId="0" borderId="4" xfId="1" applyFont="1" applyBorder="1"/>
    <xf numFmtId="44" fontId="35" fillId="0" borderId="4" xfId="1" applyFont="1" applyBorder="1"/>
    <xf numFmtId="44" fontId="13" fillId="0" borderId="0" xfId="1" applyFont="1" applyBorder="1"/>
    <xf numFmtId="44" fontId="20" fillId="0" borderId="0" xfId="1" applyFont="1" applyBorder="1" applyAlignment="1">
      <alignment horizontal="center"/>
    </xf>
    <xf numFmtId="0" fontId="43" fillId="0" borderId="0" xfId="0" applyFont="1" applyAlignment="1">
      <alignment horizontal="left"/>
    </xf>
    <xf numFmtId="0" fontId="43" fillId="0" borderId="0" xfId="0" applyFont="1"/>
    <xf numFmtId="0" fontId="0" fillId="0" borderId="22" xfId="0" applyBorder="1"/>
    <xf numFmtId="0" fontId="3" fillId="20" borderId="3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164" fontId="7" fillId="22" borderId="10" xfId="0" applyNumberFormat="1" applyFont="1" applyFill="1" applyBorder="1" applyAlignment="1">
      <alignment horizontal="center" vertical="top" shrinkToFit="1"/>
    </xf>
    <xf numFmtId="164" fontId="7" fillId="23" borderId="5" xfId="0" applyNumberFormat="1" applyFont="1" applyFill="1" applyBorder="1" applyAlignment="1">
      <alignment horizontal="center" vertical="top" shrinkToFit="1"/>
    </xf>
    <xf numFmtId="164" fontId="7" fillId="23" borderId="6" xfId="0" applyNumberFormat="1" applyFont="1" applyFill="1" applyBorder="1" applyAlignment="1">
      <alignment horizontal="center" vertical="top" shrinkToFit="1"/>
    </xf>
    <xf numFmtId="0" fontId="3" fillId="13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164" fontId="7" fillId="24" borderId="5" xfId="0" applyNumberFormat="1" applyFont="1" applyFill="1" applyBorder="1" applyAlignment="1">
      <alignment horizontal="center" vertical="top" shrinkToFit="1"/>
    </xf>
    <xf numFmtId="0" fontId="3" fillId="25" borderId="3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164" fontId="7" fillId="26" borderId="5" xfId="0" applyNumberFormat="1" applyFont="1" applyFill="1" applyBorder="1" applyAlignment="1">
      <alignment horizontal="center" vertical="top" shrinkToFit="1"/>
    </xf>
    <xf numFmtId="164" fontId="7" fillId="26" borderId="6" xfId="0" applyNumberFormat="1" applyFont="1" applyFill="1" applyBorder="1" applyAlignment="1">
      <alignment horizontal="center" vertical="top" shrinkToFit="1"/>
    </xf>
    <xf numFmtId="0" fontId="34" fillId="21" borderId="4" xfId="0" applyFont="1" applyFill="1" applyBorder="1" applyAlignment="1">
      <alignment horizontal="center"/>
    </xf>
    <xf numFmtId="0" fontId="15" fillId="7" borderId="4" xfId="3" applyFont="1" applyFill="1" applyBorder="1" applyAlignment="1">
      <alignment horizontal="center"/>
    </xf>
    <xf numFmtId="0" fontId="2" fillId="0" borderId="21" xfId="3" applyFont="1" applyBorder="1" applyAlignment="1">
      <alignment horizontal="left"/>
    </xf>
    <xf numFmtId="0" fontId="0" fillId="0" borderId="0" xfId="0" applyAlignment="1">
      <alignment horizontal="left"/>
    </xf>
    <xf numFmtId="0" fontId="33" fillId="7" borderId="4" xfId="0" applyFont="1" applyFill="1" applyBorder="1" applyAlignment="1">
      <alignment horizontal="center"/>
    </xf>
    <xf numFmtId="0" fontId="34" fillId="0" borderId="4" xfId="0" applyFont="1" applyBorder="1" applyAlignment="1">
      <alignment horizontal="left"/>
    </xf>
    <xf numFmtId="0" fontId="13" fillId="18" borderId="4" xfId="2" applyFont="1" applyFill="1" applyBorder="1"/>
    <xf numFmtId="0" fontId="40" fillId="17" borderId="4" xfId="2" applyFont="1" applyFill="1" applyBorder="1" applyAlignment="1">
      <alignment horizontal="center"/>
    </xf>
    <xf numFmtId="0" fontId="41" fillId="18" borderId="4" xfId="2" applyFont="1" applyFill="1" applyBorder="1"/>
    <xf numFmtId="0" fontId="5" fillId="18" borderId="4" xfId="2" applyFont="1" applyFill="1" applyBorder="1" applyAlignment="1">
      <alignment horizontal="left" vertical="center"/>
    </xf>
    <xf numFmtId="0" fontId="17" fillId="11" borderId="4" xfId="2" applyFont="1" applyFill="1" applyBorder="1" applyAlignment="1">
      <alignment horizontal="center"/>
    </xf>
    <xf numFmtId="0" fontId="13" fillId="12" borderId="4" xfId="2" applyFont="1" applyFill="1" applyBorder="1" applyAlignment="1">
      <alignment horizontal="center"/>
    </xf>
    <xf numFmtId="0" fontId="12" fillId="8" borderId="4" xfId="2" applyFont="1" applyFill="1" applyBorder="1" applyAlignment="1">
      <alignment horizontal="center" vertical="center"/>
    </xf>
    <xf numFmtId="166" fontId="20" fillId="0" borderId="4" xfId="2" applyNumberFormat="1" applyFont="1" applyBorder="1" applyAlignment="1">
      <alignment horizontal="center"/>
    </xf>
    <xf numFmtId="0" fontId="17" fillId="9" borderId="4" xfId="2" applyFont="1" applyFill="1" applyBorder="1" applyAlignment="1">
      <alignment horizontal="center"/>
    </xf>
    <xf numFmtId="0" fontId="13" fillId="10" borderId="4" xfId="2" applyFont="1" applyFill="1" applyBorder="1" applyAlignment="1">
      <alignment horizontal="center"/>
    </xf>
    <xf numFmtId="0" fontId="5" fillId="10" borderId="4" xfId="2" applyFont="1" applyFill="1" applyBorder="1" applyAlignment="1">
      <alignment horizontal="center" vertical="center"/>
    </xf>
    <xf numFmtId="44" fontId="35" fillId="0" borderId="4" xfId="8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164" fontId="6" fillId="0" borderId="20" xfId="0" applyNumberFormat="1" applyFont="1" applyBorder="1" applyAlignment="1">
      <alignment horizontal="center" vertical="top" shrinkToFit="1"/>
    </xf>
    <xf numFmtId="0" fontId="10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30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left"/>
    </xf>
    <xf numFmtId="0" fontId="44" fillId="0" borderId="4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49" fillId="0" borderId="4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4" fillId="0" borderId="0" xfId="0" applyFont="1" applyAlignment="1">
      <alignment horizontal="left"/>
    </xf>
    <xf numFmtId="0" fontId="23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31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</cellXfs>
  <cellStyles count="10">
    <cellStyle name="Excel Built-in Normal" xfId="2" xr:uid="{AFD50012-935B-481C-A48E-8F88E2466C29}"/>
    <cellStyle name="Normale" xfId="0" builtinId="0"/>
    <cellStyle name="Normale 2" xfId="7" xr:uid="{C4042948-EED7-430B-BD67-0367BCAC3BF3}"/>
    <cellStyle name="Normale 3" xfId="3" xr:uid="{8A4ED0DE-A07D-4D1C-A8E7-627FB7DEEA03}"/>
    <cellStyle name="Percentuale 2" xfId="5" xr:uid="{38FC2312-970C-4FE1-A6E2-8D8CCB6BF3B9}"/>
    <cellStyle name="Valuta" xfId="1" builtinId="4"/>
    <cellStyle name="Valuta 2" xfId="4" xr:uid="{EDF4899F-7E08-49EF-AC18-B4405F61F416}"/>
    <cellStyle name="Valuta 3" xfId="8" xr:uid="{ADB29A0B-66A6-46B2-80AF-C068C6DC70C7}"/>
    <cellStyle name="Valuta 4" xfId="6" xr:uid="{DAF55FDC-54BD-41E2-92C4-D11EA514FF05}"/>
    <cellStyle name="Valuta 4 2" xfId="9" xr:uid="{CE034CDB-7754-4B5E-A681-1F55AA1593FE}"/>
  </cellStyles>
  <dxfs count="0"/>
  <tableStyles count="0" defaultTableStyle="TableStyleMedium2" defaultPivotStyle="PivotStyleLight16"/>
  <colors>
    <mruColors>
      <color rgb="FF0000A8"/>
      <color rgb="FFFF33CC"/>
      <color rgb="FFF1700F"/>
      <color rgb="FF0000FF"/>
      <color rgb="FFF3822D"/>
      <color rgb="FFABF0F7"/>
      <color rgb="FF93EC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6DE3-0B66-41A2-BA36-3CAA1AC283C9}">
  <dimension ref="A1:E24"/>
  <sheetViews>
    <sheetView zoomScaleNormal="100" workbookViewId="0">
      <selection sqref="A1:B1"/>
    </sheetView>
  </sheetViews>
  <sheetFormatPr defaultRowHeight="15" x14ac:dyDescent="0.25"/>
  <cols>
    <col min="1" max="1" width="45" bestFit="1" customWidth="1"/>
    <col min="2" max="2" width="57.5703125" bestFit="1" customWidth="1"/>
  </cols>
  <sheetData>
    <row r="1" spans="1:2" ht="36" x14ac:dyDescent="0.55000000000000004">
      <c r="A1" s="93" t="s">
        <v>130</v>
      </c>
      <c r="B1" s="93"/>
    </row>
    <row r="2" spans="1:2" ht="15.75" x14ac:dyDescent="0.25">
      <c r="A2" s="89"/>
      <c r="B2" s="89"/>
    </row>
    <row r="3" spans="1:2" ht="15.75" x14ac:dyDescent="0.25">
      <c r="A3" s="94" t="s">
        <v>66</v>
      </c>
      <c r="B3" s="94"/>
    </row>
    <row r="4" spans="1:2" ht="18.75" x14ac:dyDescent="0.3">
      <c r="A4" s="49" t="s">
        <v>67</v>
      </c>
      <c r="B4" s="50" t="s">
        <v>69</v>
      </c>
    </row>
    <row r="5" spans="1:2" ht="18.75" x14ac:dyDescent="0.3">
      <c r="A5" s="49" t="s">
        <v>68</v>
      </c>
      <c r="B5" s="50" t="s">
        <v>126</v>
      </c>
    </row>
    <row r="6" spans="1:2" ht="18.75" x14ac:dyDescent="0.3">
      <c r="A6" s="49" t="s">
        <v>70</v>
      </c>
      <c r="B6" s="50" t="s">
        <v>71</v>
      </c>
    </row>
    <row r="7" spans="1:2" ht="18.75" x14ac:dyDescent="0.3">
      <c r="A7" s="49" t="s">
        <v>132</v>
      </c>
      <c r="B7" s="50" t="s">
        <v>131</v>
      </c>
    </row>
    <row r="8" spans="1:2" ht="18.75" x14ac:dyDescent="0.3">
      <c r="A8" s="49" t="s">
        <v>72</v>
      </c>
      <c r="B8" s="50" t="s">
        <v>73</v>
      </c>
    </row>
    <row r="9" spans="1:2" ht="18.75" x14ac:dyDescent="0.3">
      <c r="A9" s="49" t="s">
        <v>74</v>
      </c>
      <c r="B9" s="50" t="s">
        <v>71</v>
      </c>
    </row>
    <row r="10" spans="1:2" ht="18.75" x14ac:dyDescent="0.3">
      <c r="A10" s="49" t="s">
        <v>133</v>
      </c>
      <c r="B10" s="50" t="s">
        <v>131</v>
      </c>
    </row>
    <row r="11" spans="1:2" ht="18.75" x14ac:dyDescent="0.3">
      <c r="A11" s="49" t="s">
        <v>134</v>
      </c>
      <c r="B11" s="50" t="s">
        <v>71</v>
      </c>
    </row>
    <row r="12" spans="1:2" ht="18.75" x14ac:dyDescent="0.3">
      <c r="A12" s="49" t="s">
        <v>135</v>
      </c>
      <c r="B12" s="50" t="s">
        <v>136</v>
      </c>
    </row>
    <row r="13" spans="1:2" ht="15.75" x14ac:dyDescent="0.25">
      <c r="A13" s="89"/>
      <c r="B13" s="89"/>
    </row>
    <row r="14" spans="1:2" ht="18.75" x14ac:dyDescent="0.3">
      <c r="A14" s="90"/>
      <c r="B14" s="90"/>
    </row>
    <row r="15" spans="1:2" ht="15.75" x14ac:dyDescent="0.25">
      <c r="A15" s="91" t="s">
        <v>75</v>
      </c>
      <c r="B15" s="91"/>
    </row>
    <row r="16" spans="1:2" ht="18.75" x14ac:dyDescent="0.3">
      <c r="A16" s="51"/>
      <c r="B16" s="51"/>
    </row>
    <row r="17" spans="1:5" x14ac:dyDescent="0.25">
      <c r="A17" s="52" t="s">
        <v>14</v>
      </c>
      <c r="B17" s="18" t="s">
        <v>76</v>
      </c>
      <c r="C17" s="18"/>
      <c r="D17" s="18"/>
    </row>
    <row r="18" spans="1:5" x14ac:dyDescent="0.25">
      <c r="A18" s="52" t="s">
        <v>77</v>
      </c>
      <c r="B18" s="92" t="s">
        <v>78</v>
      </c>
      <c r="C18" s="92"/>
      <c r="D18" s="92"/>
      <c r="E18" s="92"/>
    </row>
    <row r="19" spans="1:5" x14ac:dyDescent="0.25">
      <c r="A19" s="52" t="s">
        <v>79</v>
      </c>
      <c r="B19" t="s">
        <v>78</v>
      </c>
    </row>
    <row r="20" spans="1:5" x14ac:dyDescent="0.25">
      <c r="A20" s="52" t="s">
        <v>137</v>
      </c>
      <c r="B20" t="s">
        <v>78</v>
      </c>
    </row>
    <row r="21" spans="1:5" x14ac:dyDescent="0.25">
      <c r="A21" s="52" t="s">
        <v>85</v>
      </c>
      <c r="B21" t="s">
        <v>86</v>
      </c>
    </row>
    <row r="22" spans="1:5" x14ac:dyDescent="0.25">
      <c r="A22" s="52" t="s">
        <v>138</v>
      </c>
      <c r="B22" s="19">
        <v>-200</v>
      </c>
      <c r="C22" s="18"/>
      <c r="D22" s="18"/>
    </row>
    <row r="23" spans="1:5" x14ac:dyDescent="0.25">
      <c r="A23" s="52" t="s">
        <v>11</v>
      </c>
      <c r="B23" s="19">
        <v>-500</v>
      </c>
      <c r="C23" s="18"/>
      <c r="D23" s="18"/>
    </row>
    <row r="24" spans="1:5" x14ac:dyDescent="0.25">
      <c r="A24" s="52" t="s">
        <v>12</v>
      </c>
      <c r="B24" s="19">
        <v>-1000</v>
      </c>
      <c r="C24" s="18"/>
      <c r="D24" s="18"/>
    </row>
  </sheetData>
  <mergeCells count="7">
    <mergeCell ref="A13:B13"/>
    <mergeCell ref="A14:B14"/>
    <mergeCell ref="A15:B15"/>
    <mergeCell ref="B18:E18"/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9847-8962-4AAF-83F3-EF890DCC577B}">
  <dimension ref="A1:D38"/>
  <sheetViews>
    <sheetView workbookViewId="0">
      <selection sqref="A1:B1"/>
    </sheetView>
  </sheetViews>
  <sheetFormatPr defaultColWidth="49.5703125" defaultRowHeight="15" x14ac:dyDescent="0.25"/>
  <sheetData>
    <row r="1" spans="1:2" ht="36" x14ac:dyDescent="0.55000000000000004">
      <c r="A1" s="96" t="s">
        <v>98</v>
      </c>
      <c r="B1" s="96"/>
    </row>
    <row r="2" spans="1:2" ht="15.75" x14ac:dyDescent="0.25">
      <c r="A2" s="97"/>
      <c r="B2" s="97" t="s">
        <v>21</v>
      </c>
    </row>
    <row r="3" spans="1:2" ht="15.75" x14ac:dyDescent="0.25">
      <c r="A3" s="62" t="s">
        <v>99</v>
      </c>
      <c r="B3" s="63" t="s">
        <v>21</v>
      </c>
    </row>
    <row r="4" spans="1:2" ht="15.75" x14ac:dyDescent="0.25">
      <c r="A4" s="16" t="s">
        <v>115</v>
      </c>
      <c r="B4" s="21">
        <v>110</v>
      </c>
    </row>
    <row r="5" spans="1:2" ht="15.75" x14ac:dyDescent="0.25">
      <c r="A5" s="16" t="s">
        <v>116</v>
      </c>
      <c r="B5" s="21">
        <v>100</v>
      </c>
    </row>
    <row r="6" spans="1:2" ht="15.75" x14ac:dyDescent="0.25">
      <c r="A6" s="16" t="s">
        <v>117</v>
      </c>
      <c r="B6" s="21">
        <v>80</v>
      </c>
    </row>
    <row r="7" spans="1:2" ht="15.75" x14ac:dyDescent="0.25">
      <c r="A7" s="16" t="s">
        <v>100</v>
      </c>
      <c r="B7" s="21">
        <v>75</v>
      </c>
    </row>
    <row r="8" spans="1:2" ht="15.75" x14ac:dyDescent="0.25">
      <c r="A8" s="16" t="s">
        <v>118</v>
      </c>
      <c r="B8" s="21">
        <v>80</v>
      </c>
    </row>
    <row r="9" spans="1:2" ht="15.75" x14ac:dyDescent="0.25">
      <c r="A9" s="95"/>
      <c r="B9" s="95"/>
    </row>
    <row r="10" spans="1:2" ht="15.75" x14ac:dyDescent="0.25">
      <c r="A10" s="64" t="s">
        <v>101</v>
      </c>
      <c r="B10" s="63" t="s">
        <v>21</v>
      </c>
    </row>
    <row r="11" spans="1:2" ht="15.75" x14ac:dyDescent="0.25">
      <c r="A11" s="17" t="s">
        <v>119</v>
      </c>
      <c r="B11" s="65">
        <v>5</v>
      </c>
    </row>
    <row r="12" spans="1:2" ht="15.75" x14ac:dyDescent="0.25">
      <c r="A12" s="17" t="s">
        <v>120</v>
      </c>
      <c r="B12" s="65">
        <v>10</v>
      </c>
    </row>
    <row r="13" spans="1:2" ht="15.75" x14ac:dyDescent="0.25">
      <c r="A13" s="17" t="s">
        <v>121</v>
      </c>
      <c r="B13" s="65">
        <v>15</v>
      </c>
    </row>
    <row r="14" spans="1:2" ht="15.75" x14ac:dyDescent="0.25">
      <c r="A14" s="95"/>
      <c r="B14" s="95"/>
    </row>
    <row r="15" spans="1:2" ht="15.75" x14ac:dyDescent="0.25">
      <c r="A15" s="66" t="s">
        <v>102</v>
      </c>
      <c r="B15" s="63" t="s">
        <v>21</v>
      </c>
    </row>
    <row r="16" spans="1:2" ht="15.75" x14ac:dyDescent="0.25">
      <c r="A16" s="16" t="s">
        <v>103</v>
      </c>
      <c r="B16" s="21">
        <v>130</v>
      </c>
    </row>
    <row r="17" spans="1:4" ht="15.75" x14ac:dyDescent="0.25">
      <c r="A17" s="16" t="s">
        <v>104</v>
      </c>
      <c r="B17" s="21">
        <v>200</v>
      </c>
    </row>
    <row r="18" spans="1:4" ht="15.75" x14ac:dyDescent="0.25">
      <c r="A18" s="16" t="s">
        <v>122</v>
      </c>
      <c r="B18" s="21">
        <v>260</v>
      </c>
    </row>
    <row r="19" spans="1:4" ht="15.75" x14ac:dyDescent="0.25">
      <c r="A19" s="16" t="s">
        <v>123</v>
      </c>
      <c r="B19" s="21">
        <v>300</v>
      </c>
    </row>
    <row r="20" spans="1:4" ht="15.75" x14ac:dyDescent="0.25">
      <c r="A20" s="98"/>
      <c r="B20" s="98"/>
    </row>
    <row r="21" spans="1:4" ht="15.75" x14ac:dyDescent="0.25">
      <c r="A21" s="66" t="s">
        <v>105</v>
      </c>
      <c r="B21" s="63" t="s">
        <v>21</v>
      </c>
    </row>
    <row r="22" spans="1:4" ht="15.75" x14ac:dyDescent="0.25">
      <c r="A22" s="67" t="s">
        <v>106</v>
      </c>
      <c r="B22" s="68">
        <v>15</v>
      </c>
    </row>
    <row r="23" spans="1:4" ht="15.75" x14ac:dyDescent="0.25">
      <c r="A23" s="67" t="s">
        <v>107</v>
      </c>
      <c r="B23" s="68">
        <v>30</v>
      </c>
    </row>
    <row r="24" spans="1:4" ht="15.75" x14ac:dyDescent="0.25">
      <c r="A24" s="67" t="s">
        <v>108</v>
      </c>
      <c r="B24" s="68">
        <v>35</v>
      </c>
    </row>
    <row r="25" spans="1:4" ht="15.75" x14ac:dyDescent="0.25">
      <c r="A25" s="95"/>
      <c r="B25" s="95"/>
    </row>
    <row r="26" spans="1:4" ht="15.75" x14ac:dyDescent="0.25">
      <c r="A26" s="64" t="s">
        <v>109</v>
      </c>
      <c r="B26" s="63" t="s">
        <v>21</v>
      </c>
    </row>
    <row r="27" spans="1:4" ht="15.75" x14ac:dyDescent="0.25">
      <c r="A27" s="17" t="s">
        <v>110</v>
      </c>
      <c r="B27" s="65">
        <v>85</v>
      </c>
      <c r="C27" s="73" t="s">
        <v>111</v>
      </c>
    </row>
    <row r="28" spans="1:4" ht="15.75" x14ac:dyDescent="0.25">
      <c r="A28" s="17" t="s">
        <v>112</v>
      </c>
      <c r="B28" s="65">
        <v>85</v>
      </c>
      <c r="C28" s="73" t="s">
        <v>113</v>
      </c>
    </row>
    <row r="29" spans="1:4" ht="15.75" x14ac:dyDescent="0.25">
      <c r="A29" s="17" t="s">
        <v>114</v>
      </c>
      <c r="B29" s="65">
        <v>85</v>
      </c>
      <c r="C29" s="73" t="s">
        <v>113</v>
      </c>
    </row>
    <row r="30" spans="1:4" ht="15.75" x14ac:dyDescent="0.25">
      <c r="A30" s="69"/>
      <c r="B30" s="70"/>
    </row>
    <row r="31" spans="1:4" ht="15.75" x14ac:dyDescent="0.25">
      <c r="A31" s="69"/>
      <c r="B31" s="70"/>
    </row>
    <row r="32" spans="1:4" x14ac:dyDescent="0.25">
      <c r="A32" s="71" t="s">
        <v>13</v>
      </c>
      <c r="B32" s="18" t="s">
        <v>16</v>
      </c>
      <c r="C32" s="18"/>
      <c r="D32" s="18"/>
    </row>
    <row r="33" spans="1:4" x14ac:dyDescent="0.25">
      <c r="A33" s="71" t="s">
        <v>14</v>
      </c>
      <c r="B33" s="18" t="s">
        <v>16</v>
      </c>
      <c r="C33" s="18"/>
      <c r="D33" s="18"/>
    </row>
    <row r="34" spans="1:4" x14ac:dyDescent="0.25">
      <c r="A34" s="72" t="s">
        <v>84</v>
      </c>
      <c r="B34" t="s">
        <v>87</v>
      </c>
      <c r="C34" s="18"/>
      <c r="D34" s="18"/>
    </row>
    <row r="35" spans="1:4" x14ac:dyDescent="0.25">
      <c r="A35" s="72" t="s">
        <v>85</v>
      </c>
      <c r="B35" t="s">
        <v>87</v>
      </c>
      <c r="C35" s="18"/>
      <c r="D35" s="18"/>
    </row>
    <row r="36" spans="1:4" x14ac:dyDescent="0.25">
      <c r="A36" s="71" t="s">
        <v>125</v>
      </c>
      <c r="B36" s="19">
        <v>-200</v>
      </c>
      <c r="C36" s="18"/>
      <c r="D36" s="18"/>
    </row>
    <row r="37" spans="1:4" x14ac:dyDescent="0.25">
      <c r="A37" s="71" t="s">
        <v>11</v>
      </c>
      <c r="B37" s="19">
        <v>-500</v>
      </c>
      <c r="C37" s="18"/>
      <c r="D37" s="18"/>
    </row>
    <row r="38" spans="1:4" x14ac:dyDescent="0.25">
      <c r="A38" s="71" t="s">
        <v>12</v>
      </c>
      <c r="B38" s="19">
        <v>-1000</v>
      </c>
      <c r="C38" s="18"/>
      <c r="D38" s="18"/>
    </row>
  </sheetData>
  <mergeCells count="6">
    <mergeCell ref="A25:B25"/>
    <mergeCell ref="A1:B1"/>
    <mergeCell ref="A2:B2"/>
    <mergeCell ref="A9:B9"/>
    <mergeCell ref="A14:B14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1A70-DF56-41BD-83DB-15E949C44C00}">
  <dimension ref="A1:N24"/>
  <sheetViews>
    <sheetView workbookViewId="0">
      <selection sqref="A1:C1"/>
    </sheetView>
  </sheetViews>
  <sheetFormatPr defaultRowHeight="15" x14ac:dyDescent="0.25"/>
  <cols>
    <col min="1" max="1" width="46" customWidth="1"/>
    <col min="2" max="2" width="50.42578125" customWidth="1"/>
    <col min="3" max="3" width="29.28515625" bestFit="1" customWidth="1"/>
  </cols>
  <sheetData>
    <row r="1" spans="1:14" ht="36" x14ac:dyDescent="0.55000000000000004">
      <c r="A1" s="99" t="s">
        <v>145</v>
      </c>
      <c r="B1" s="99"/>
      <c r="C1" s="99"/>
    </row>
    <row r="2" spans="1:14" ht="24" customHeight="1" x14ac:dyDescent="0.25">
      <c r="A2" s="27" t="s">
        <v>42</v>
      </c>
      <c r="B2" s="34" t="s">
        <v>40</v>
      </c>
      <c r="C2" s="34" t="s">
        <v>41</v>
      </c>
      <c r="M2" s="35"/>
      <c r="N2" s="35"/>
    </row>
    <row r="3" spans="1:14" ht="18.75" x14ac:dyDescent="0.3">
      <c r="A3" s="28" t="s">
        <v>27</v>
      </c>
      <c r="B3" s="29">
        <v>2.5</v>
      </c>
      <c r="C3" s="30">
        <v>0</v>
      </c>
      <c r="M3" s="36"/>
      <c r="N3" s="37"/>
    </row>
    <row r="4" spans="1:14" ht="18.75" x14ac:dyDescent="0.3">
      <c r="A4" s="28" t="s">
        <v>28</v>
      </c>
      <c r="B4" s="29">
        <v>4</v>
      </c>
      <c r="C4" s="30">
        <v>0</v>
      </c>
      <c r="M4" s="36"/>
      <c r="N4" s="37"/>
    </row>
    <row r="5" spans="1:14" ht="18.75" x14ac:dyDescent="0.3">
      <c r="A5" s="28" t="s">
        <v>29</v>
      </c>
      <c r="B5" s="29">
        <v>5</v>
      </c>
      <c r="C5" s="30">
        <v>0</v>
      </c>
      <c r="M5" s="36"/>
      <c r="N5" s="36"/>
    </row>
    <row r="6" spans="1:14" ht="18.75" x14ac:dyDescent="0.3">
      <c r="A6" s="31" t="s">
        <v>30</v>
      </c>
      <c r="B6" s="29">
        <v>5</v>
      </c>
      <c r="C6" s="30">
        <v>0</v>
      </c>
    </row>
    <row r="7" spans="1:14" ht="18.75" x14ac:dyDescent="0.3">
      <c r="A7" s="31" t="s">
        <v>31</v>
      </c>
      <c r="B7" s="29">
        <v>5</v>
      </c>
      <c r="C7" s="30">
        <v>0</v>
      </c>
      <c r="K7" s="26"/>
    </row>
    <row r="8" spans="1:14" ht="18.75" x14ac:dyDescent="0.3">
      <c r="A8" s="31" t="s">
        <v>32</v>
      </c>
      <c r="B8" s="29">
        <v>5</v>
      </c>
      <c r="C8" s="30">
        <v>0</v>
      </c>
      <c r="K8" s="26"/>
    </row>
    <row r="9" spans="1:14" ht="18.75" x14ac:dyDescent="0.3">
      <c r="A9" s="31" t="s">
        <v>33</v>
      </c>
      <c r="B9" s="29">
        <v>5</v>
      </c>
      <c r="C9" s="30">
        <v>0</v>
      </c>
      <c r="K9" s="26"/>
      <c r="L9" s="19"/>
    </row>
    <row r="10" spans="1:14" ht="18.75" x14ac:dyDescent="0.3">
      <c r="A10" s="31" t="s">
        <v>26</v>
      </c>
      <c r="B10" s="29">
        <v>5</v>
      </c>
      <c r="C10" s="30">
        <v>0</v>
      </c>
      <c r="K10" s="26"/>
      <c r="L10" s="19"/>
    </row>
    <row r="11" spans="1:14" ht="18.75" x14ac:dyDescent="0.3">
      <c r="A11" s="31" t="s">
        <v>34</v>
      </c>
      <c r="B11" s="32">
        <v>4</v>
      </c>
      <c r="C11" s="30">
        <v>1</v>
      </c>
      <c r="K11" s="26"/>
      <c r="L11" s="19"/>
    </row>
    <row r="12" spans="1:14" ht="18.75" x14ac:dyDescent="0.3">
      <c r="A12" s="31" t="s">
        <v>35</v>
      </c>
      <c r="B12" s="32">
        <v>4</v>
      </c>
      <c r="C12" s="33" t="s">
        <v>39</v>
      </c>
    </row>
    <row r="13" spans="1:14" ht="18.75" x14ac:dyDescent="0.3">
      <c r="A13" s="31" t="s">
        <v>36</v>
      </c>
      <c r="B13" s="32">
        <v>3</v>
      </c>
      <c r="C13" s="33" t="s">
        <v>39</v>
      </c>
    </row>
    <row r="14" spans="1:14" ht="18.75" x14ac:dyDescent="0.3">
      <c r="A14" s="31" t="s">
        <v>37</v>
      </c>
      <c r="B14" s="32">
        <v>3</v>
      </c>
      <c r="C14" s="33" t="s">
        <v>39</v>
      </c>
    </row>
    <row r="15" spans="1:14" ht="18.75" x14ac:dyDescent="0.3">
      <c r="A15" s="31" t="s">
        <v>38</v>
      </c>
      <c r="B15" s="32">
        <v>4</v>
      </c>
      <c r="C15" s="33" t="s">
        <v>39</v>
      </c>
    </row>
    <row r="16" spans="1:14" ht="15.75" x14ac:dyDescent="0.25">
      <c r="A16" s="100"/>
      <c r="B16" s="100"/>
      <c r="C16" s="100"/>
    </row>
    <row r="19" spans="1:4" x14ac:dyDescent="0.25">
      <c r="A19" s="26" t="s">
        <v>43</v>
      </c>
      <c r="B19" t="s">
        <v>16</v>
      </c>
    </row>
    <row r="20" spans="1:4" x14ac:dyDescent="0.25">
      <c r="A20" s="26" t="s">
        <v>44</v>
      </c>
      <c r="B20" s="92" t="s">
        <v>139</v>
      </c>
      <c r="C20" s="92"/>
      <c r="D20" s="92"/>
    </row>
    <row r="21" spans="1:4" x14ac:dyDescent="0.25">
      <c r="A21" s="54" t="s">
        <v>85</v>
      </c>
      <c r="B21" t="s">
        <v>87</v>
      </c>
      <c r="C21" s="18"/>
      <c r="D21" s="18"/>
    </row>
    <row r="22" spans="1:4" x14ac:dyDescent="0.25">
      <c r="A22" s="26" t="s">
        <v>125</v>
      </c>
      <c r="B22" s="19">
        <v>-200</v>
      </c>
    </row>
    <row r="23" spans="1:4" x14ac:dyDescent="0.25">
      <c r="A23" s="26" t="s">
        <v>11</v>
      </c>
      <c r="B23" s="19">
        <v>-500</v>
      </c>
    </row>
    <row r="24" spans="1:4" x14ac:dyDescent="0.25">
      <c r="A24" s="26" t="s">
        <v>12</v>
      </c>
      <c r="B24" s="19">
        <v>-1000</v>
      </c>
    </row>
  </sheetData>
  <mergeCells count="3">
    <mergeCell ref="A1:C1"/>
    <mergeCell ref="A16:C16"/>
    <mergeCell ref="B20:D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0C31-E30E-4E4B-858D-8B97674808A4}">
  <dimension ref="A1:D36"/>
  <sheetViews>
    <sheetView workbookViewId="0">
      <selection activeCell="A29" sqref="A29"/>
    </sheetView>
  </sheetViews>
  <sheetFormatPr defaultRowHeight="15" x14ac:dyDescent="0.25"/>
  <cols>
    <col min="1" max="1" width="56.5703125" bestFit="1" customWidth="1"/>
    <col min="2" max="2" width="42.28515625" customWidth="1"/>
    <col min="3" max="3" width="22.5703125" customWidth="1"/>
  </cols>
  <sheetData>
    <row r="1" spans="1:3" ht="36" x14ac:dyDescent="0.55000000000000004">
      <c r="A1" s="103" t="s">
        <v>124</v>
      </c>
      <c r="B1" s="103"/>
      <c r="C1" s="103"/>
    </row>
    <row r="2" spans="1:3" ht="15.75" x14ac:dyDescent="0.25">
      <c r="A2" s="25" t="s">
        <v>24</v>
      </c>
      <c r="B2" s="101" t="s">
        <v>21</v>
      </c>
      <c r="C2" s="101"/>
    </row>
    <row r="3" spans="1:3" ht="15.75" x14ac:dyDescent="0.25">
      <c r="A3" s="25"/>
      <c r="B3" s="20" t="s">
        <v>51</v>
      </c>
      <c r="C3" s="20" t="s">
        <v>52</v>
      </c>
    </row>
    <row r="4" spans="1:3" ht="15.75" x14ac:dyDescent="0.25">
      <c r="A4" s="16" t="s">
        <v>23</v>
      </c>
      <c r="B4" s="21">
        <v>140</v>
      </c>
      <c r="C4" s="21">
        <v>110</v>
      </c>
    </row>
    <row r="5" spans="1:3" ht="15.75" x14ac:dyDescent="0.25">
      <c r="A5" s="104"/>
      <c r="B5" s="104"/>
      <c r="C5" s="104"/>
    </row>
    <row r="6" spans="1:3" ht="15.75" x14ac:dyDescent="0.25">
      <c r="A6" s="25" t="s">
        <v>54</v>
      </c>
      <c r="B6" s="101" t="s">
        <v>21</v>
      </c>
      <c r="C6" s="101"/>
    </row>
    <row r="7" spans="1:3" ht="15.75" x14ac:dyDescent="0.25">
      <c r="A7" s="17" t="s">
        <v>55</v>
      </c>
      <c r="B7" s="102">
        <v>5</v>
      </c>
      <c r="C7" s="102"/>
    </row>
    <row r="8" spans="1:3" ht="15.75" x14ac:dyDescent="0.25">
      <c r="A8" s="17" t="s">
        <v>56</v>
      </c>
      <c r="B8" s="102">
        <v>5</v>
      </c>
      <c r="C8" s="102"/>
    </row>
    <row r="9" spans="1:3" ht="15.75" x14ac:dyDescent="0.25">
      <c r="A9" s="25" t="s">
        <v>53</v>
      </c>
      <c r="B9" s="101" t="s">
        <v>21</v>
      </c>
      <c r="C9" s="101"/>
    </row>
    <row r="10" spans="1:3" ht="15.75" x14ac:dyDescent="0.25">
      <c r="A10" s="17" t="s">
        <v>57</v>
      </c>
      <c r="B10" s="102">
        <v>25</v>
      </c>
      <c r="C10" s="102"/>
    </row>
    <row r="11" spans="1:3" ht="15.75" x14ac:dyDescent="0.25">
      <c r="A11" s="17" t="s">
        <v>58</v>
      </c>
      <c r="B11" s="102">
        <v>20</v>
      </c>
      <c r="C11" s="102"/>
    </row>
    <row r="12" spans="1:3" ht="15.75" x14ac:dyDescent="0.25">
      <c r="A12" s="17" t="s">
        <v>59</v>
      </c>
      <c r="B12" s="102">
        <v>10</v>
      </c>
      <c r="C12" s="102"/>
    </row>
    <row r="13" spans="1:3" ht="15.75" x14ac:dyDescent="0.25">
      <c r="A13" s="17" t="s">
        <v>60</v>
      </c>
      <c r="B13" s="102">
        <v>20</v>
      </c>
      <c r="C13" s="102"/>
    </row>
    <row r="14" spans="1:3" ht="15.75" x14ac:dyDescent="0.25">
      <c r="A14" s="17" t="s">
        <v>61</v>
      </c>
      <c r="B14" s="102">
        <v>15</v>
      </c>
      <c r="C14" s="102"/>
    </row>
    <row r="15" spans="1:3" ht="15.75" x14ac:dyDescent="0.25">
      <c r="A15" s="104"/>
      <c r="B15" s="104"/>
      <c r="C15" s="104"/>
    </row>
    <row r="16" spans="1:3" ht="15.75" x14ac:dyDescent="0.25">
      <c r="A16" s="25" t="s">
        <v>80</v>
      </c>
      <c r="B16" s="101" t="s">
        <v>21</v>
      </c>
      <c r="C16" s="101"/>
    </row>
    <row r="17" spans="1:4" ht="15.75" x14ac:dyDescent="0.25">
      <c r="A17" s="16" t="s">
        <v>23</v>
      </c>
      <c r="B17" s="102">
        <v>170</v>
      </c>
      <c r="C17" s="102"/>
    </row>
    <row r="18" spans="1:4" ht="15.75" x14ac:dyDescent="0.25">
      <c r="A18" s="104"/>
      <c r="B18" s="104"/>
      <c r="C18" s="104"/>
    </row>
    <row r="19" spans="1:4" ht="15.75" x14ac:dyDescent="0.25">
      <c r="A19" s="25" t="s">
        <v>81</v>
      </c>
      <c r="B19" s="101" t="s">
        <v>21</v>
      </c>
      <c r="C19" s="101"/>
    </row>
    <row r="20" spans="1:4" ht="15.75" x14ac:dyDescent="0.25">
      <c r="A20" s="16" t="s">
        <v>23</v>
      </c>
      <c r="B20" s="106" t="s">
        <v>82</v>
      </c>
      <c r="C20" s="106"/>
    </row>
    <row r="21" spans="1:4" ht="15.75" x14ac:dyDescent="0.25">
      <c r="A21" s="105"/>
      <c r="B21" s="105"/>
      <c r="C21" s="105"/>
    </row>
    <row r="22" spans="1:4" ht="15.75" x14ac:dyDescent="0.25">
      <c r="A22" s="25" t="s">
        <v>83</v>
      </c>
      <c r="B22" s="101" t="s">
        <v>21</v>
      </c>
      <c r="C22" s="101"/>
    </row>
    <row r="23" spans="1:4" ht="15.75" x14ac:dyDescent="0.25">
      <c r="A23" s="53" t="s">
        <v>23</v>
      </c>
      <c r="B23" s="106" t="s">
        <v>82</v>
      </c>
      <c r="C23" s="106"/>
    </row>
    <row r="24" spans="1:4" ht="15.75" x14ac:dyDescent="0.25">
      <c r="A24" s="104"/>
      <c r="B24" s="104"/>
      <c r="C24" s="104"/>
    </row>
    <row r="27" spans="1:4" x14ac:dyDescent="0.25">
      <c r="A27" s="22" t="s">
        <v>13</v>
      </c>
      <c r="B27" s="18" t="s">
        <v>89</v>
      </c>
    </row>
    <row r="28" spans="1:4" x14ac:dyDescent="0.25">
      <c r="A28" s="22" t="s">
        <v>14</v>
      </c>
      <c r="B28" s="18" t="s">
        <v>140</v>
      </c>
    </row>
    <row r="29" spans="1:4" x14ac:dyDescent="0.25">
      <c r="A29" s="22" t="s">
        <v>22</v>
      </c>
      <c r="B29" s="18" t="s">
        <v>18</v>
      </c>
    </row>
    <row r="30" spans="1:4" x14ac:dyDescent="0.25">
      <c r="A30" s="22" t="s">
        <v>141</v>
      </c>
      <c r="B30" s="18" t="s">
        <v>142</v>
      </c>
    </row>
    <row r="31" spans="1:4" x14ac:dyDescent="0.25">
      <c r="A31" s="22" t="s">
        <v>45</v>
      </c>
      <c r="B31" s="18" t="s">
        <v>62</v>
      </c>
    </row>
    <row r="32" spans="1:4" x14ac:dyDescent="0.25">
      <c r="A32" s="55" t="s">
        <v>84</v>
      </c>
      <c r="B32" t="s">
        <v>87</v>
      </c>
      <c r="C32" s="18"/>
      <c r="D32" s="18"/>
    </row>
    <row r="33" spans="1:4" x14ac:dyDescent="0.25">
      <c r="A33" s="55" t="s">
        <v>85</v>
      </c>
      <c r="B33" t="s">
        <v>87</v>
      </c>
      <c r="C33" s="18"/>
      <c r="D33" s="18"/>
    </row>
    <row r="34" spans="1:4" x14ac:dyDescent="0.25">
      <c r="A34" s="22" t="s">
        <v>138</v>
      </c>
      <c r="B34" s="19">
        <v>-200</v>
      </c>
      <c r="C34" s="18"/>
      <c r="D34" s="18"/>
    </row>
    <row r="35" spans="1:4" x14ac:dyDescent="0.25">
      <c r="A35" s="22" t="s">
        <v>11</v>
      </c>
      <c r="B35" s="19">
        <v>-500</v>
      </c>
    </row>
    <row r="36" spans="1:4" x14ac:dyDescent="0.25">
      <c r="A36" s="22" t="s">
        <v>12</v>
      </c>
      <c r="B36" s="19">
        <v>-1000</v>
      </c>
    </row>
  </sheetData>
  <mergeCells count="22">
    <mergeCell ref="A21:C21"/>
    <mergeCell ref="B22:C22"/>
    <mergeCell ref="B23:C23"/>
    <mergeCell ref="A24:C24"/>
    <mergeCell ref="B11:C11"/>
    <mergeCell ref="B12:C12"/>
    <mergeCell ref="B13:C13"/>
    <mergeCell ref="B14:C14"/>
    <mergeCell ref="A15:C15"/>
    <mergeCell ref="B16:C16"/>
    <mergeCell ref="B17:C17"/>
    <mergeCell ref="A18:C18"/>
    <mergeCell ref="B19:C19"/>
    <mergeCell ref="B20:C20"/>
    <mergeCell ref="B9:C9"/>
    <mergeCell ref="B10:C10"/>
    <mergeCell ref="B7:C7"/>
    <mergeCell ref="B8:C8"/>
    <mergeCell ref="A1:C1"/>
    <mergeCell ref="B2:C2"/>
    <mergeCell ref="A5:C5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sqref="A1:F1"/>
    </sheetView>
  </sheetViews>
  <sheetFormatPr defaultRowHeight="15" x14ac:dyDescent="0.25"/>
  <cols>
    <col min="1" max="1" width="31.42578125" bestFit="1" customWidth="1"/>
    <col min="2" max="2" width="17" customWidth="1"/>
    <col min="3" max="3" width="20.28515625" customWidth="1"/>
    <col min="4" max="4" width="18" customWidth="1"/>
    <col min="5" max="5" width="14.140625" customWidth="1"/>
    <col min="6" max="6" width="23.28515625" customWidth="1"/>
  </cols>
  <sheetData>
    <row r="1" spans="1:6" ht="31.5" x14ac:dyDescent="0.5">
      <c r="A1" s="107" t="s">
        <v>7</v>
      </c>
      <c r="B1" s="107"/>
      <c r="C1" s="107"/>
      <c r="D1" s="107"/>
      <c r="E1" s="107"/>
      <c r="F1" s="107"/>
    </row>
    <row r="2" spans="1:6" ht="54" customHeight="1" x14ac:dyDescent="0.25">
      <c r="A2" s="108" t="s">
        <v>2</v>
      </c>
      <c r="B2" s="109"/>
      <c r="C2" s="7" t="s">
        <v>4</v>
      </c>
      <c r="D2" s="2" t="s">
        <v>6</v>
      </c>
      <c r="E2" s="38" t="s">
        <v>46</v>
      </c>
      <c r="F2" s="3" t="s">
        <v>5</v>
      </c>
    </row>
    <row r="3" spans="1:6" ht="15.75" x14ac:dyDescent="0.25">
      <c r="A3" s="110" t="s">
        <v>3</v>
      </c>
      <c r="B3" s="111"/>
      <c r="C3" s="8" t="s">
        <v>0</v>
      </c>
      <c r="D3" s="4">
        <v>70</v>
      </c>
      <c r="E3" s="5">
        <v>10</v>
      </c>
      <c r="F3" s="6">
        <f>D3+E3</f>
        <v>80</v>
      </c>
    </row>
    <row r="4" spans="1:6" ht="15.75" x14ac:dyDescent="0.25">
      <c r="A4" s="112"/>
      <c r="B4" s="113"/>
      <c r="C4" s="8" t="s">
        <v>1</v>
      </c>
      <c r="D4" s="4">
        <v>70</v>
      </c>
      <c r="E4" s="5">
        <v>10</v>
      </c>
      <c r="F4" s="6">
        <f t="shared" ref="F4" si="0">D4+E4</f>
        <v>80</v>
      </c>
    </row>
    <row r="5" spans="1:6" ht="15.75" x14ac:dyDescent="0.25">
      <c r="A5" s="45" t="s">
        <v>3</v>
      </c>
      <c r="B5" s="46" t="s">
        <v>63</v>
      </c>
      <c r="C5" s="47"/>
      <c r="D5" s="114"/>
      <c r="E5" s="114"/>
      <c r="F5" s="48">
        <v>95</v>
      </c>
    </row>
    <row r="8" spans="1:6" x14ac:dyDescent="0.25">
      <c r="A8" s="115" t="s">
        <v>13</v>
      </c>
      <c r="B8" s="115"/>
      <c r="C8" s="92" t="s">
        <v>17</v>
      </c>
      <c r="D8" s="92"/>
      <c r="E8" s="92"/>
      <c r="F8" s="92"/>
    </row>
    <row r="9" spans="1:6" x14ac:dyDescent="0.25">
      <c r="A9" s="115" t="s">
        <v>10</v>
      </c>
      <c r="B9" s="115"/>
      <c r="C9" s="92" t="s">
        <v>143</v>
      </c>
      <c r="D9" s="92"/>
      <c r="E9" s="92"/>
      <c r="F9" s="92"/>
    </row>
    <row r="10" spans="1:6" x14ac:dyDescent="0.25">
      <c r="A10" s="115" t="s">
        <v>84</v>
      </c>
      <c r="B10" s="115"/>
      <c r="C10" s="92" t="s">
        <v>87</v>
      </c>
      <c r="D10" s="92"/>
      <c r="E10" s="92"/>
      <c r="F10" s="92"/>
    </row>
    <row r="11" spans="1:6" x14ac:dyDescent="0.25">
      <c r="A11" s="115" t="s">
        <v>85</v>
      </c>
      <c r="B11" s="115"/>
      <c r="C11" s="92" t="s">
        <v>88</v>
      </c>
      <c r="D11" s="92"/>
      <c r="E11" s="92"/>
      <c r="F11" s="92"/>
    </row>
    <row r="12" spans="1:6" x14ac:dyDescent="0.25">
      <c r="A12" s="115" t="s">
        <v>125</v>
      </c>
      <c r="B12" s="115"/>
      <c r="C12" s="116">
        <v>-300</v>
      </c>
      <c r="D12" s="116"/>
      <c r="E12" s="116"/>
      <c r="F12" s="116"/>
    </row>
    <row r="13" spans="1:6" x14ac:dyDescent="0.25">
      <c r="A13" s="115" t="s">
        <v>11</v>
      </c>
      <c r="B13" s="115"/>
      <c r="C13" s="116">
        <v>-1000</v>
      </c>
      <c r="D13" s="116"/>
      <c r="E13" s="116"/>
      <c r="F13" s="116"/>
    </row>
    <row r="14" spans="1:6" x14ac:dyDescent="0.25">
      <c r="A14" s="115" t="s">
        <v>12</v>
      </c>
      <c r="B14" s="115"/>
      <c r="C14" s="116">
        <v>-5000</v>
      </c>
      <c r="D14" s="116"/>
      <c r="E14" s="116"/>
      <c r="F14" s="116"/>
    </row>
  </sheetData>
  <mergeCells count="18">
    <mergeCell ref="A13:B13"/>
    <mergeCell ref="A14:B14"/>
    <mergeCell ref="C8:F8"/>
    <mergeCell ref="C9:F9"/>
    <mergeCell ref="C10:F10"/>
    <mergeCell ref="C11:F11"/>
    <mergeCell ref="C12:F12"/>
    <mergeCell ref="C13:F13"/>
    <mergeCell ref="C14:F14"/>
    <mergeCell ref="A11:B11"/>
    <mergeCell ref="A12:B12"/>
    <mergeCell ref="A9:B9"/>
    <mergeCell ref="A10:B10"/>
    <mergeCell ref="A1:F1"/>
    <mergeCell ref="A2:B2"/>
    <mergeCell ref="A3:B4"/>
    <mergeCell ref="D5:E5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4C57-EA6B-4222-A5CD-51F1E3F16CCC}">
  <dimension ref="A1:F18"/>
  <sheetViews>
    <sheetView workbookViewId="0">
      <selection activeCell="C10" sqref="C10:E10"/>
    </sheetView>
  </sheetViews>
  <sheetFormatPr defaultColWidth="24.140625" defaultRowHeight="15" x14ac:dyDescent="0.25"/>
  <sheetData>
    <row r="1" spans="1:6" ht="31.5" x14ac:dyDescent="0.5">
      <c r="A1" s="118" t="s">
        <v>47</v>
      </c>
      <c r="B1" s="118"/>
      <c r="C1" s="118"/>
      <c r="D1" s="118"/>
      <c r="E1" s="118"/>
    </row>
    <row r="2" spans="1:6" ht="18.75" customHeight="1" x14ac:dyDescent="0.25">
      <c r="A2" s="108" t="s">
        <v>2</v>
      </c>
      <c r="B2" s="109"/>
      <c r="C2" s="39" t="s">
        <v>4</v>
      </c>
      <c r="D2" s="40" t="s">
        <v>6</v>
      </c>
      <c r="E2" s="41" t="s">
        <v>5</v>
      </c>
    </row>
    <row r="3" spans="1:6" ht="15.75" x14ac:dyDescent="0.25">
      <c r="A3" s="110" t="s">
        <v>3</v>
      </c>
      <c r="B3" s="111"/>
      <c r="C3" s="23" t="s">
        <v>25</v>
      </c>
      <c r="D3" s="24">
        <v>80</v>
      </c>
      <c r="E3" s="77">
        <v>80</v>
      </c>
    </row>
    <row r="4" spans="1:6" ht="15.75" x14ac:dyDescent="0.25">
      <c r="A4" s="119" t="s">
        <v>9</v>
      </c>
      <c r="B4" s="119"/>
      <c r="C4" s="23" t="s">
        <v>25</v>
      </c>
      <c r="D4" s="24">
        <v>60</v>
      </c>
      <c r="E4" s="77">
        <v>60</v>
      </c>
    </row>
    <row r="5" spans="1:6" ht="15.75" x14ac:dyDescent="0.25">
      <c r="A5" s="119" t="s">
        <v>90</v>
      </c>
      <c r="B5" s="119"/>
      <c r="C5" s="23" t="s">
        <v>91</v>
      </c>
      <c r="D5" s="24">
        <v>5</v>
      </c>
      <c r="E5" s="77">
        <v>5</v>
      </c>
    </row>
    <row r="6" spans="1:6" ht="15.75" x14ac:dyDescent="0.25">
      <c r="A6" s="121" t="s">
        <v>92</v>
      </c>
      <c r="B6" s="121"/>
      <c r="C6" s="23" t="s">
        <v>95</v>
      </c>
      <c r="D6" s="24">
        <v>-5</v>
      </c>
      <c r="E6" s="77">
        <v>-5</v>
      </c>
    </row>
    <row r="9" spans="1:6" x14ac:dyDescent="0.25">
      <c r="A9" s="117" t="s">
        <v>13</v>
      </c>
      <c r="B9" s="117"/>
      <c r="C9" s="120" t="s">
        <v>146</v>
      </c>
      <c r="D9" s="120"/>
      <c r="E9" s="120"/>
    </row>
    <row r="10" spans="1:6" x14ac:dyDescent="0.25">
      <c r="A10" s="117" t="s">
        <v>14</v>
      </c>
      <c r="B10" s="117"/>
      <c r="C10" s="120" t="s">
        <v>146</v>
      </c>
      <c r="D10" s="120"/>
      <c r="E10" s="120"/>
    </row>
    <row r="11" spans="1:6" x14ac:dyDescent="0.25">
      <c r="A11" s="117" t="s">
        <v>10</v>
      </c>
      <c r="B11" s="117"/>
      <c r="C11" s="120" t="s">
        <v>15</v>
      </c>
      <c r="D11" s="120"/>
      <c r="E11" s="120"/>
    </row>
    <row r="12" spans="1:6" x14ac:dyDescent="0.25">
      <c r="A12" s="117" t="s">
        <v>93</v>
      </c>
      <c r="B12" s="117"/>
      <c r="C12" s="120" t="s">
        <v>94</v>
      </c>
      <c r="D12" s="120"/>
      <c r="E12" s="120"/>
    </row>
    <row r="13" spans="1:6" x14ac:dyDescent="0.25">
      <c r="A13" s="117" t="s">
        <v>84</v>
      </c>
      <c r="B13" s="117"/>
      <c r="C13" s="92" t="s">
        <v>87</v>
      </c>
      <c r="D13" s="92"/>
      <c r="E13" s="92"/>
      <c r="F13" s="92"/>
    </row>
    <row r="14" spans="1:6" x14ac:dyDescent="0.25">
      <c r="A14" s="117" t="s">
        <v>85</v>
      </c>
      <c r="B14" s="117"/>
      <c r="C14" s="92" t="s">
        <v>87</v>
      </c>
      <c r="D14" s="92"/>
      <c r="E14" s="92"/>
      <c r="F14" s="92"/>
    </row>
    <row r="15" spans="1:6" x14ac:dyDescent="0.25">
      <c r="A15" s="117" t="s">
        <v>125</v>
      </c>
      <c r="B15" s="117"/>
      <c r="C15" s="116">
        <v>-300</v>
      </c>
      <c r="D15" s="116"/>
      <c r="E15" s="116"/>
    </row>
    <row r="16" spans="1:6" x14ac:dyDescent="0.25">
      <c r="A16" s="117" t="s">
        <v>11</v>
      </c>
      <c r="B16" s="117"/>
      <c r="C16" s="116">
        <v>-1000</v>
      </c>
      <c r="D16" s="116"/>
      <c r="E16" s="116"/>
    </row>
    <row r="17" spans="1:5" x14ac:dyDescent="0.25">
      <c r="A17" s="117" t="s">
        <v>12</v>
      </c>
      <c r="B17" s="117"/>
      <c r="C17" s="116">
        <v>-5000</v>
      </c>
      <c r="D17" s="116"/>
      <c r="E17" s="116"/>
    </row>
    <row r="18" spans="1:5" x14ac:dyDescent="0.25">
      <c r="A18" s="117" t="s">
        <v>127</v>
      </c>
      <c r="B18" s="117"/>
      <c r="C18" s="92" t="s">
        <v>128</v>
      </c>
      <c r="D18" s="92"/>
      <c r="E18" s="92"/>
    </row>
  </sheetData>
  <mergeCells count="26">
    <mergeCell ref="A18:B18"/>
    <mergeCell ref="C18:E18"/>
    <mergeCell ref="C10:E10"/>
    <mergeCell ref="C11:E11"/>
    <mergeCell ref="C15:E15"/>
    <mergeCell ref="C16:E16"/>
    <mergeCell ref="C17:E17"/>
    <mergeCell ref="C13:F13"/>
    <mergeCell ref="C14:F14"/>
    <mergeCell ref="C12:E12"/>
    <mergeCell ref="A10:B10"/>
    <mergeCell ref="A11:B11"/>
    <mergeCell ref="A15:B15"/>
    <mergeCell ref="A16:B16"/>
    <mergeCell ref="A17:B17"/>
    <mergeCell ref="A13:B13"/>
    <mergeCell ref="A14:B14"/>
    <mergeCell ref="A12:B12"/>
    <mergeCell ref="A1:E1"/>
    <mergeCell ref="A2:B2"/>
    <mergeCell ref="A3:B3"/>
    <mergeCell ref="A4:B4"/>
    <mergeCell ref="A9:B9"/>
    <mergeCell ref="C9:E9"/>
    <mergeCell ref="A5:B5"/>
    <mergeCell ref="A6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7009-D0E4-4CB3-8955-95E366D4830E}">
  <dimension ref="A1:F14"/>
  <sheetViews>
    <sheetView tabSelected="1" workbookViewId="0">
      <selection sqref="A1:E1"/>
    </sheetView>
  </sheetViews>
  <sheetFormatPr defaultColWidth="23.7109375" defaultRowHeight="15" x14ac:dyDescent="0.25"/>
  <sheetData>
    <row r="1" spans="1:6" ht="31.5" x14ac:dyDescent="0.5">
      <c r="A1" s="124" t="s">
        <v>144</v>
      </c>
      <c r="B1" s="125"/>
      <c r="C1" s="125"/>
      <c r="D1" s="125"/>
      <c r="E1" s="125"/>
    </row>
    <row r="2" spans="1:6" ht="63" customHeight="1" x14ac:dyDescent="0.25">
      <c r="A2" s="108" t="s">
        <v>2</v>
      </c>
      <c r="B2" s="109"/>
      <c r="C2" s="74" t="s">
        <v>4</v>
      </c>
      <c r="D2" s="75" t="s">
        <v>8</v>
      </c>
      <c r="E2" s="76" t="s">
        <v>5</v>
      </c>
    </row>
    <row r="3" spans="1:6" ht="15.75" x14ac:dyDescent="0.25">
      <c r="A3" s="122" t="s">
        <v>147</v>
      </c>
      <c r="B3" s="122"/>
      <c r="C3" s="9" t="s">
        <v>0</v>
      </c>
      <c r="D3" s="10">
        <v>85</v>
      </c>
      <c r="E3" s="78">
        <v>85</v>
      </c>
    </row>
    <row r="4" spans="1:6" ht="15.75" x14ac:dyDescent="0.25">
      <c r="A4" s="122"/>
      <c r="B4" s="122"/>
      <c r="C4" s="11" t="s">
        <v>1</v>
      </c>
      <c r="D4" s="12">
        <v>85</v>
      </c>
      <c r="E4" s="79">
        <v>85</v>
      </c>
    </row>
    <row r="5" spans="1:6" ht="15.75" x14ac:dyDescent="0.25">
      <c r="A5" s="122" t="s">
        <v>148</v>
      </c>
      <c r="B5" s="122"/>
      <c r="C5" s="9" t="s">
        <v>0</v>
      </c>
      <c r="D5" s="10">
        <v>65</v>
      </c>
      <c r="E5" s="78">
        <v>65</v>
      </c>
    </row>
    <row r="6" spans="1:6" ht="15.75" x14ac:dyDescent="0.25">
      <c r="A6" s="122"/>
      <c r="B6" s="122"/>
      <c r="C6" s="11" t="s">
        <v>1</v>
      </c>
      <c r="D6" s="12">
        <v>65</v>
      </c>
      <c r="E6" s="79">
        <v>65</v>
      </c>
    </row>
    <row r="7" spans="1:6" x14ac:dyDescent="0.25">
      <c r="A7" s="1"/>
      <c r="B7" s="1"/>
      <c r="C7" s="1"/>
      <c r="D7" s="1"/>
    </row>
    <row r="8" spans="1:6" x14ac:dyDescent="0.25">
      <c r="A8" s="123" t="s">
        <v>13</v>
      </c>
      <c r="B8" s="123"/>
      <c r="C8" s="123"/>
      <c r="D8" s="120" t="s">
        <v>50</v>
      </c>
      <c r="E8" s="120"/>
      <c r="F8" s="120"/>
    </row>
    <row r="9" spans="1:6" x14ac:dyDescent="0.25">
      <c r="A9" s="123" t="s">
        <v>10</v>
      </c>
      <c r="B9" s="123"/>
      <c r="C9" s="123"/>
      <c r="D9" s="18" t="s">
        <v>19</v>
      </c>
      <c r="E9" s="1"/>
    </row>
    <row r="10" spans="1:6" x14ac:dyDescent="0.25">
      <c r="A10" s="123" t="s">
        <v>84</v>
      </c>
      <c r="B10" s="123"/>
      <c r="C10" s="123"/>
      <c r="D10" s="18" t="s">
        <v>87</v>
      </c>
      <c r="E10" s="1"/>
    </row>
    <row r="11" spans="1:6" x14ac:dyDescent="0.25">
      <c r="A11" s="123" t="s">
        <v>125</v>
      </c>
      <c r="B11" s="123"/>
      <c r="C11" s="123"/>
      <c r="D11" s="19">
        <v>-300</v>
      </c>
      <c r="E11" s="1"/>
    </row>
    <row r="12" spans="1:6" x14ac:dyDescent="0.25">
      <c r="A12" s="123" t="s">
        <v>11</v>
      </c>
      <c r="B12" s="123"/>
      <c r="C12" s="123"/>
      <c r="D12" s="19">
        <v>-1000</v>
      </c>
      <c r="E12" s="1"/>
    </row>
    <row r="13" spans="1:6" x14ac:dyDescent="0.25">
      <c r="A13" s="123" t="s">
        <v>12</v>
      </c>
      <c r="B13" s="123"/>
      <c r="C13" s="123"/>
      <c r="D13" s="19">
        <v>-5000</v>
      </c>
      <c r="E13" s="1"/>
    </row>
    <row r="14" spans="1:6" x14ac:dyDescent="0.25">
      <c r="A14" s="123" t="s">
        <v>127</v>
      </c>
      <c r="B14" s="123"/>
      <c r="C14" s="123"/>
      <c r="D14" s="92" t="s">
        <v>129</v>
      </c>
      <c r="E14" s="92"/>
      <c r="F14" s="92"/>
    </row>
  </sheetData>
  <mergeCells count="13">
    <mergeCell ref="A13:C13"/>
    <mergeCell ref="A14:C14"/>
    <mergeCell ref="D14:F14"/>
    <mergeCell ref="A9:C9"/>
    <mergeCell ref="A10:C10"/>
    <mergeCell ref="A11:C11"/>
    <mergeCell ref="A12:C12"/>
    <mergeCell ref="A2:B2"/>
    <mergeCell ref="A3:B4"/>
    <mergeCell ref="A8:C8"/>
    <mergeCell ref="A1:E1"/>
    <mergeCell ref="A5:B6"/>
    <mergeCell ref="D8:F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ADCA-D6C8-4934-BC82-C91D00550228}">
  <dimension ref="A1:F15"/>
  <sheetViews>
    <sheetView workbookViewId="0">
      <selection sqref="A1:E1"/>
    </sheetView>
  </sheetViews>
  <sheetFormatPr defaultColWidth="23.5703125" defaultRowHeight="15" x14ac:dyDescent="0.25"/>
  <sheetData>
    <row r="1" spans="1:6" ht="31.5" x14ac:dyDescent="0.5">
      <c r="A1" s="126" t="s">
        <v>149</v>
      </c>
      <c r="B1" s="127"/>
      <c r="C1" s="127"/>
      <c r="D1" s="127"/>
      <c r="E1" s="127"/>
    </row>
    <row r="2" spans="1:6" ht="63" x14ac:dyDescent="0.25">
      <c r="A2" s="108" t="s">
        <v>2</v>
      </c>
      <c r="B2" s="109"/>
      <c r="C2" s="84" t="s">
        <v>4</v>
      </c>
      <c r="D2" s="85" t="s">
        <v>8</v>
      </c>
      <c r="E2" s="86" t="s">
        <v>5</v>
      </c>
    </row>
    <row r="3" spans="1:6" ht="15.75" x14ac:dyDescent="0.25">
      <c r="A3" s="122" t="s">
        <v>3</v>
      </c>
      <c r="B3" s="122"/>
      <c r="C3" s="9" t="s">
        <v>0</v>
      </c>
      <c r="D3" s="10">
        <v>75</v>
      </c>
      <c r="E3" s="87">
        <v>75</v>
      </c>
    </row>
    <row r="4" spans="1:6" ht="15.75" x14ac:dyDescent="0.25">
      <c r="A4" s="122"/>
      <c r="B4" s="122"/>
      <c r="C4" s="11" t="s">
        <v>1</v>
      </c>
      <c r="D4" s="12">
        <v>75</v>
      </c>
      <c r="E4" s="87">
        <v>75</v>
      </c>
    </row>
    <row r="5" spans="1:6" ht="15.75" x14ac:dyDescent="0.25">
      <c r="A5" s="122" t="s">
        <v>9</v>
      </c>
      <c r="B5" s="122"/>
      <c r="C5" s="9" t="s">
        <v>0</v>
      </c>
      <c r="D5" s="10">
        <v>75</v>
      </c>
      <c r="E5" s="87">
        <v>75</v>
      </c>
    </row>
    <row r="6" spans="1:6" ht="15.75" x14ac:dyDescent="0.25">
      <c r="A6" s="122"/>
      <c r="B6" s="122"/>
      <c r="C6" s="11" t="s">
        <v>1</v>
      </c>
      <c r="D6" s="12">
        <v>75</v>
      </c>
      <c r="E6" s="88">
        <v>75</v>
      </c>
    </row>
    <row r="7" spans="1:6" x14ac:dyDescent="0.25">
      <c r="A7" s="1"/>
      <c r="B7" s="1"/>
      <c r="C7" s="1"/>
      <c r="D7" s="1"/>
      <c r="E7" s="1"/>
    </row>
    <row r="8" spans="1:6" x14ac:dyDescent="0.25">
      <c r="A8" s="1"/>
      <c r="B8" s="1"/>
      <c r="C8" s="1"/>
      <c r="D8" s="1"/>
      <c r="E8" s="1"/>
    </row>
    <row r="9" spans="1:6" x14ac:dyDescent="0.25">
      <c r="A9" s="123" t="s">
        <v>13</v>
      </c>
      <c r="B9" s="123"/>
      <c r="C9" s="123"/>
      <c r="D9" s="120" t="s">
        <v>50</v>
      </c>
      <c r="E9" s="120"/>
      <c r="F9" s="120"/>
    </row>
    <row r="10" spans="1:6" x14ac:dyDescent="0.25">
      <c r="A10" s="123" t="s">
        <v>10</v>
      </c>
      <c r="B10" s="123"/>
      <c r="C10" s="123"/>
      <c r="D10" s="18" t="s">
        <v>97</v>
      </c>
      <c r="E10" s="1"/>
    </row>
    <row r="11" spans="1:6" x14ac:dyDescent="0.25">
      <c r="A11" s="123" t="s">
        <v>84</v>
      </c>
      <c r="B11" s="123"/>
      <c r="C11" s="123"/>
      <c r="D11" s="18" t="s">
        <v>87</v>
      </c>
      <c r="E11" s="1"/>
    </row>
    <row r="12" spans="1:6" x14ac:dyDescent="0.25">
      <c r="A12" s="123" t="s">
        <v>125</v>
      </c>
      <c r="B12" s="123"/>
      <c r="C12" s="123"/>
      <c r="D12" s="19">
        <v>-300</v>
      </c>
      <c r="E12" s="1"/>
    </row>
    <row r="13" spans="1:6" x14ac:dyDescent="0.25">
      <c r="A13" s="123" t="s">
        <v>11</v>
      </c>
      <c r="B13" s="123"/>
      <c r="C13" s="123"/>
      <c r="D13" s="19">
        <v>-1000</v>
      </c>
      <c r="E13" s="1"/>
    </row>
    <row r="14" spans="1:6" x14ac:dyDescent="0.25">
      <c r="A14" s="123" t="s">
        <v>12</v>
      </c>
      <c r="B14" s="123"/>
      <c r="C14" s="123"/>
      <c r="D14" s="19">
        <v>-5000</v>
      </c>
      <c r="E14" s="1"/>
    </row>
    <row r="15" spans="1:6" x14ac:dyDescent="0.25">
      <c r="A15" s="123" t="s">
        <v>127</v>
      </c>
      <c r="B15" s="123"/>
      <c r="C15" s="123"/>
      <c r="D15" s="92" t="s">
        <v>129</v>
      </c>
      <c r="E15" s="92"/>
      <c r="F15" s="92"/>
    </row>
  </sheetData>
  <mergeCells count="13">
    <mergeCell ref="D15:F15"/>
    <mergeCell ref="A10:C10"/>
    <mergeCell ref="A11:C11"/>
    <mergeCell ref="A12:C12"/>
    <mergeCell ref="A13:C13"/>
    <mergeCell ref="A14:C14"/>
    <mergeCell ref="A15:C15"/>
    <mergeCell ref="A1:E1"/>
    <mergeCell ref="A2:B2"/>
    <mergeCell ref="A3:B4"/>
    <mergeCell ref="A5:B6"/>
    <mergeCell ref="A9:C9"/>
    <mergeCell ref="D9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3E60-A39B-4AFE-9075-C1286FA763F7}">
  <dimension ref="A1:F17"/>
  <sheetViews>
    <sheetView workbookViewId="0">
      <selection activeCell="D12" sqref="D12:F12"/>
    </sheetView>
  </sheetViews>
  <sheetFormatPr defaultColWidth="21.85546875" defaultRowHeight="15" x14ac:dyDescent="0.25"/>
  <cols>
    <col min="1" max="2" width="21.85546875" style="1"/>
    <col min="3" max="3" width="31.85546875" style="1" customWidth="1"/>
    <col min="4" max="16384" width="21.85546875" style="1"/>
  </cols>
  <sheetData>
    <row r="1" spans="1:6" ht="31.5" x14ac:dyDescent="0.5">
      <c r="A1" s="128" t="s">
        <v>96</v>
      </c>
      <c r="B1" s="129"/>
      <c r="C1" s="129"/>
      <c r="D1" s="129"/>
      <c r="E1" s="129"/>
      <c r="F1" s="129"/>
    </row>
    <row r="2" spans="1:6" ht="15.75" x14ac:dyDescent="0.25">
      <c r="A2" s="130" t="s">
        <v>2</v>
      </c>
      <c r="B2" s="131"/>
      <c r="C2" s="56" t="s">
        <v>4</v>
      </c>
      <c r="D2" s="57" t="s">
        <v>8</v>
      </c>
      <c r="E2" s="61" t="s">
        <v>20</v>
      </c>
      <c r="F2" s="58" t="s">
        <v>5</v>
      </c>
    </row>
    <row r="3" spans="1:6" ht="15.75" x14ac:dyDescent="0.25">
      <c r="A3" s="122" t="s">
        <v>3</v>
      </c>
      <c r="B3" s="122"/>
      <c r="C3" s="9" t="s">
        <v>0</v>
      </c>
      <c r="D3" s="10">
        <v>65</v>
      </c>
      <c r="E3" s="10">
        <v>15</v>
      </c>
      <c r="F3" s="59">
        <v>80</v>
      </c>
    </row>
    <row r="4" spans="1:6" ht="15.75" x14ac:dyDescent="0.25">
      <c r="A4" s="122"/>
      <c r="B4" s="122"/>
      <c r="C4" s="11" t="s">
        <v>1</v>
      </c>
      <c r="D4" s="12">
        <v>65</v>
      </c>
      <c r="E4" s="12">
        <v>15</v>
      </c>
      <c r="F4" s="60">
        <v>80</v>
      </c>
    </row>
    <row r="5" spans="1:6" ht="15.75" x14ac:dyDescent="0.25">
      <c r="A5" s="122" t="s">
        <v>9</v>
      </c>
      <c r="B5" s="122"/>
      <c r="C5" s="9" t="s">
        <v>0</v>
      </c>
      <c r="D5" s="10">
        <v>65</v>
      </c>
      <c r="E5" s="10">
        <v>15</v>
      </c>
      <c r="F5" s="59">
        <v>80</v>
      </c>
    </row>
    <row r="6" spans="1:6" ht="15.75" x14ac:dyDescent="0.25">
      <c r="A6" s="122"/>
      <c r="B6" s="122"/>
      <c r="C6" s="11" t="s">
        <v>1</v>
      </c>
      <c r="D6" s="12">
        <v>65</v>
      </c>
      <c r="E6" s="12">
        <v>15</v>
      </c>
      <c r="F6" s="60">
        <v>80</v>
      </c>
    </row>
    <row r="9" spans="1:6" x14ac:dyDescent="0.25">
      <c r="A9" s="115" t="s">
        <v>13</v>
      </c>
      <c r="B9" s="115"/>
      <c r="C9" s="115"/>
      <c r="D9" s="92" t="s">
        <v>17</v>
      </c>
      <c r="E9" s="92"/>
      <c r="F9" s="92"/>
    </row>
    <row r="10" spans="1:6" x14ac:dyDescent="0.25">
      <c r="A10" s="115" t="s">
        <v>14</v>
      </c>
      <c r="B10" s="115"/>
      <c r="C10" s="115"/>
      <c r="D10" s="92" t="s">
        <v>16</v>
      </c>
      <c r="E10" s="92"/>
      <c r="F10" s="92"/>
    </row>
    <row r="11" spans="1:6" x14ac:dyDescent="0.25">
      <c r="A11" s="115" t="s">
        <v>10</v>
      </c>
      <c r="B11" s="115"/>
      <c r="C11" s="115"/>
      <c r="D11" s="18" t="s">
        <v>97</v>
      </c>
      <c r="E11"/>
    </row>
    <row r="12" spans="1:6" x14ac:dyDescent="0.25">
      <c r="A12" s="115" t="s">
        <v>84</v>
      </c>
      <c r="B12" s="115"/>
      <c r="C12" s="115"/>
      <c r="D12" s="92" t="s">
        <v>87</v>
      </c>
      <c r="E12" s="92"/>
      <c r="F12" s="92"/>
    </row>
    <row r="13" spans="1:6" x14ac:dyDescent="0.25">
      <c r="A13" s="115" t="s">
        <v>85</v>
      </c>
      <c r="B13" s="115"/>
      <c r="C13" s="115"/>
      <c r="D13" s="92" t="s">
        <v>87</v>
      </c>
      <c r="E13" s="92"/>
      <c r="F13" s="92"/>
    </row>
    <row r="14" spans="1:6" x14ac:dyDescent="0.25">
      <c r="A14" s="115" t="s">
        <v>125</v>
      </c>
      <c r="B14" s="115"/>
      <c r="C14" s="115"/>
      <c r="D14" s="116">
        <v>-300</v>
      </c>
      <c r="E14" s="116"/>
      <c r="F14" s="116"/>
    </row>
    <row r="15" spans="1:6" x14ac:dyDescent="0.25">
      <c r="A15" s="115" t="s">
        <v>11</v>
      </c>
      <c r="B15" s="115"/>
      <c r="C15" s="115"/>
      <c r="D15" s="116">
        <v>-1000</v>
      </c>
      <c r="E15" s="116"/>
      <c r="F15" s="116"/>
    </row>
    <row r="16" spans="1:6" x14ac:dyDescent="0.25">
      <c r="A16" s="115" t="s">
        <v>12</v>
      </c>
      <c r="B16" s="115"/>
      <c r="C16" s="115"/>
      <c r="D16" s="116">
        <v>-5000</v>
      </c>
      <c r="E16" s="116"/>
      <c r="F16" s="116"/>
    </row>
    <row r="17" spans="1:6" x14ac:dyDescent="0.25">
      <c r="A17" s="115" t="s">
        <v>127</v>
      </c>
      <c r="B17" s="115"/>
      <c r="C17" s="115"/>
      <c r="D17" s="92" t="s">
        <v>129</v>
      </c>
      <c r="E17" s="92"/>
      <c r="F17" s="92"/>
    </row>
  </sheetData>
  <mergeCells count="21">
    <mergeCell ref="A17:C17"/>
    <mergeCell ref="D9:F9"/>
    <mergeCell ref="D10:F10"/>
    <mergeCell ref="D12:F12"/>
    <mergeCell ref="D13:F13"/>
    <mergeCell ref="D14:F14"/>
    <mergeCell ref="D15:F15"/>
    <mergeCell ref="D16:F16"/>
    <mergeCell ref="D17:F17"/>
    <mergeCell ref="A11:C11"/>
    <mergeCell ref="A14:C14"/>
    <mergeCell ref="A15:C15"/>
    <mergeCell ref="A16:C16"/>
    <mergeCell ref="A12:C12"/>
    <mergeCell ref="A13:C13"/>
    <mergeCell ref="A1:F1"/>
    <mergeCell ref="A2:B2"/>
    <mergeCell ref="A3:B4"/>
    <mergeCell ref="A9:C9"/>
    <mergeCell ref="A10:C10"/>
    <mergeCell ref="A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01A4-F469-4D24-AACB-BB45E7E68F10}">
  <dimension ref="A1:E17"/>
  <sheetViews>
    <sheetView workbookViewId="0">
      <selection sqref="A1:E1"/>
    </sheetView>
  </sheetViews>
  <sheetFormatPr defaultColWidth="35" defaultRowHeight="15" x14ac:dyDescent="0.25"/>
  <sheetData>
    <row r="1" spans="1:5" ht="31.5" x14ac:dyDescent="0.5">
      <c r="A1" s="133" t="s">
        <v>49</v>
      </c>
      <c r="B1" s="134"/>
      <c r="C1" s="134"/>
      <c r="D1" s="134"/>
      <c r="E1" s="134"/>
    </row>
    <row r="2" spans="1:5" ht="15.75" x14ac:dyDescent="0.25">
      <c r="A2" s="108" t="s">
        <v>2</v>
      </c>
      <c r="B2" s="109"/>
      <c r="C2" s="80" t="s">
        <v>4</v>
      </c>
      <c r="D2" s="81" t="s">
        <v>8</v>
      </c>
      <c r="E2" s="82" t="s">
        <v>5</v>
      </c>
    </row>
    <row r="3" spans="1:5" ht="15.75" x14ac:dyDescent="0.25">
      <c r="A3" s="122" t="s">
        <v>3</v>
      </c>
      <c r="B3" s="122"/>
      <c r="C3" s="9" t="s">
        <v>0</v>
      </c>
      <c r="D3" s="10">
        <v>80</v>
      </c>
      <c r="E3" s="83">
        <v>80</v>
      </c>
    </row>
    <row r="4" spans="1:5" ht="15.75" x14ac:dyDescent="0.25">
      <c r="A4" s="122"/>
      <c r="B4" s="122"/>
      <c r="C4" s="11" t="s">
        <v>1</v>
      </c>
      <c r="D4" s="10">
        <v>80</v>
      </c>
      <c r="E4" s="83">
        <v>80</v>
      </c>
    </row>
    <row r="5" spans="1:5" ht="15.75" x14ac:dyDescent="0.25">
      <c r="A5" s="122" t="s">
        <v>9</v>
      </c>
      <c r="B5" s="122"/>
      <c r="C5" s="9" t="s">
        <v>0</v>
      </c>
      <c r="D5" s="10">
        <v>80</v>
      </c>
      <c r="E5" s="83">
        <v>80</v>
      </c>
    </row>
    <row r="6" spans="1:5" ht="15.75" x14ac:dyDescent="0.25">
      <c r="A6" s="122"/>
      <c r="B6" s="122"/>
      <c r="C6" s="11" t="s">
        <v>1</v>
      </c>
      <c r="D6" s="10">
        <v>80</v>
      </c>
      <c r="E6" s="83">
        <v>80</v>
      </c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32" t="s">
        <v>13</v>
      </c>
      <c r="B9" s="132"/>
      <c r="C9" s="18" t="s">
        <v>50</v>
      </c>
      <c r="D9" s="18"/>
      <c r="E9" s="1"/>
    </row>
    <row r="10" spans="1:5" x14ac:dyDescent="0.25">
      <c r="A10" s="132" t="s">
        <v>14</v>
      </c>
      <c r="B10" s="132"/>
      <c r="C10" s="18" t="s">
        <v>50</v>
      </c>
      <c r="D10" s="18"/>
      <c r="E10" s="1"/>
    </row>
    <row r="11" spans="1:5" x14ac:dyDescent="0.25">
      <c r="A11" s="132" t="s">
        <v>10</v>
      </c>
      <c r="B11" s="132"/>
      <c r="C11" t="s">
        <v>19</v>
      </c>
    </row>
    <row r="12" spans="1:5" x14ac:dyDescent="0.25">
      <c r="A12" s="132" t="s">
        <v>84</v>
      </c>
      <c r="B12" s="132"/>
      <c r="C12" t="s">
        <v>87</v>
      </c>
    </row>
    <row r="13" spans="1:5" x14ac:dyDescent="0.25">
      <c r="A13" s="132" t="s">
        <v>85</v>
      </c>
      <c r="B13" s="132"/>
      <c r="C13" t="s">
        <v>87</v>
      </c>
    </row>
    <row r="14" spans="1:5" x14ac:dyDescent="0.25">
      <c r="A14" s="132" t="s">
        <v>125</v>
      </c>
      <c r="B14" s="132"/>
      <c r="C14" s="19">
        <v>-300</v>
      </c>
      <c r="D14" s="15"/>
      <c r="E14" s="1"/>
    </row>
    <row r="15" spans="1:5" x14ac:dyDescent="0.25">
      <c r="A15" s="132" t="s">
        <v>11</v>
      </c>
      <c r="B15" s="132"/>
      <c r="C15" s="19">
        <v>-1000</v>
      </c>
      <c r="D15" s="15"/>
      <c r="E15" s="1"/>
    </row>
    <row r="16" spans="1:5" x14ac:dyDescent="0.25">
      <c r="A16" s="132" t="s">
        <v>12</v>
      </c>
      <c r="B16" s="132"/>
      <c r="C16" s="19">
        <v>-3000</v>
      </c>
      <c r="D16" s="15"/>
      <c r="E16" s="1"/>
    </row>
    <row r="17" spans="1:3" x14ac:dyDescent="0.25">
      <c r="A17" s="132" t="s">
        <v>64</v>
      </c>
      <c r="B17" s="132"/>
      <c r="C17" s="18" t="s">
        <v>65</v>
      </c>
    </row>
  </sheetData>
  <mergeCells count="13">
    <mergeCell ref="A15:B15"/>
    <mergeCell ref="A16:B16"/>
    <mergeCell ref="A17:B17"/>
    <mergeCell ref="A1:E1"/>
    <mergeCell ref="A2:B2"/>
    <mergeCell ref="A3:B4"/>
    <mergeCell ref="A5:B6"/>
    <mergeCell ref="A11:B11"/>
    <mergeCell ref="A12:B12"/>
    <mergeCell ref="A13:B13"/>
    <mergeCell ref="A14:B14"/>
    <mergeCell ref="A9:B9"/>
    <mergeCell ref="A10:B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73CE-7F76-4440-8DA8-92A0277B8594}">
  <dimension ref="A1:F13"/>
  <sheetViews>
    <sheetView workbookViewId="0">
      <selection activeCell="A12" sqref="A12:B12"/>
    </sheetView>
  </sheetViews>
  <sheetFormatPr defaultRowHeight="15" x14ac:dyDescent="0.25"/>
  <cols>
    <col min="1" max="1" width="21.140625" customWidth="1"/>
    <col min="2" max="2" width="34.85546875" customWidth="1"/>
    <col min="3" max="3" width="16.85546875" customWidth="1"/>
    <col min="4" max="4" width="31.7109375" customWidth="1"/>
    <col min="5" max="5" width="24" customWidth="1"/>
  </cols>
  <sheetData>
    <row r="1" spans="1:6" ht="31.5" x14ac:dyDescent="0.5">
      <c r="A1" s="136" t="s">
        <v>48</v>
      </c>
      <c r="B1" s="137"/>
      <c r="C1" s="137"/>
      <c r="D1" s="137"/>
      <c r="E1" s="137"/>
    </row>
    <row r="2" spans="1:6" ht="15.75" x14ac:dyDescent="0.25">
      <c r="A2" s="130" t="s">
        <v>2</v>
      </c>
      <c r="B2" s="131"/>
      <c r="C2" s="42" t="s">
        <v>4</v>
      </c>
      <c r="D2" s="43" t="s">
        <v>8</v>
      </c>
      <c r="E2" s="44" t="s">
        <v>5</v>
      </c>
    </row>
    <row r="3" spans="1:6" ht="15.75" x14ac:dyDescent="0.25">
      <c r="A3" s="122" t="s">
        <v>3</v>
      </c>
      <c r="B3" s="122"/>
      <c r="C3" s="9" t="s">
        <v>0</v>
      </c>
      <c r="D3" s="10">
        <v>65</v>
      </c>
      <c r="E3" s="13">
        <v>65</v>
      </c>
    </row>
    <row r="4" spans="1:6" ht="15.75" x14ac:dyDescent="0.25">
      <c r="A4" s="122"/>
      <c r="B4" s="122"/>
      <c r="C4" s="11" t="s">
        <v>1</v>
      </c>
      <c r="D4" s="12">
        <v>65</v>
      </c>
      <c r="E4" s="14">
        <v>65</v>
      </c>
    </row>
    <row r="5" spans="1:6" x14ac:dyDescent="0.25">
      <c r="A5" s="1"/>
      <c r="B5" s="1"/>
      <c r="C5" s="1"/>
      <c r="D5" s="1"/>
      <c r="E5" s="1"/>
    </row>
    <row r="6" spans="1:6" x14ac:dyDescent="0.25">
      <c r="A6" s="1"/>
      <c r="B6" s="1"/>
      <c r="C6" s="1"/>
      <c r="D6" s="1"/>
      <c r="E6" s="1"/>
    </row>
    <row r="7" spans="1:6" x14ac:dyDescent="0.25">
      <c r="A7" s="135" t="s">
        <v>13</v>
      </c>
      <c r="B7" s="135"/>
      <c r="C7" s="18" t="s">
        <v>50</v>
      </c>
      <c r="D7" s="18"/>
      <c r="E7" s="18"/>
      <c r="F7" s="18"/>
    </row>
    <row r="8" spans="1:6" x14ac:dyDescent="0.25">
      <c r="A8" s="135" t="s">
        <v>10</v>
      </c>
      <c r="B8" s="135"/>
      <c r="C8" s="18" t="s">
        <v>19</v>
      </c>
      <c r="D8" s="18"/>
      <c r="E8" s="18"/>
      <c r="F8" s="18"/>
    </row>
    <row r="9" spans="1:6" x14ac:dyDescent="0.25">
      <c r="A9" s="135" t="s">
        <v>84</v>
      </c>
      <c r="B9" s="135"/>
      <c r="C9" t="s">
        <v>87</v>
      </c>
    </row>
    <row r="10" spans="1:6" x14ac:dyDescent="0.25">
      <c r="A10" s="135" t="s">
        <v>85</v>
      </c>
      <c r="B10" s="135"/>
      <c r="C10" t="s">
        <v>87</v>
      </c>
    </row>
    <row r="11" spans="1:6" x14ac:dyDescent="0.25">
      <c r="A11" s="135" t="s">
        <v>125</v>
      </c>
      <c r="B11" s="135"/>
      <c r="C11" s="19">
        <v>-300</v>
      </c>
      <c r="D11" s="19"/>
      <c r="E11" s="18"/>
      <c r="F11" s="18"/>
    </row>
    <row r="12" spans="1:6" x14ac:dyDescent="0.25">
      <c r="A12" s="135" t="s">
        <v>11</v>
      </c>
      <c r="B12" s="135"/>
      <c r="C12" s="19">
        <v>-1000</v>
      </c>
      <c r="D12" s="19"/>
      <c r="E12" s="18"/>
      <c r="F12" s="18"/>
    </row>
    <row r="13" spans="1:6" x14ac:dyDescent="0.25">
      <c r="A13" s="135" t="s">
        <v>12</v>
      </c>
      <c r="B13" s="135"/>
      <c r="C13" s="19">
        <v>-3000</v>
      </c>
      <c r="D13" s="19"/>
      <c r="E13" s="18"/>
      <c r="F13" s="18"/>
    </row>
  </sheetData>
  <mergeCells count="10">
    <mergeCell ref="A12:B12"/>
    <mergeCell ref="A13:B13"/>
    <mergeCell ref="A1:E1"/>
    <mergeCell ref="A2:B2"/>
    <mergeCell ref="A3:B4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VODAFONE</vt:lpstr>
      <vt:lpstr>FASTWEB</vt:lpstr>
      <vt:lpstr>WIND3</vt:lpstr>
      <vt:lpstr>TIM</vt:lpstr>
      <vt:lpstr>ENEL ENERGIA</vt:lpstr>
      <vt:lpstr>PLENITUDE</vt:lpstr>
      <vt:lpstr>EDISON</vt:lpstr>
      <vt:lpstr>HERA</vt:lpstr>
      <vt:lpstr>ARGOS</vt:lpstr>
      <vt:lpstr>LUCE E GAS</vt:lpstr>
      <vt:lpstr>SENTRA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2023-03-17T16:14:20Z</dcterms:created>
  <dcterms:modified xsi:type="dcterms:W3CDTF">2026-04-02T13:13:02Z</dcterms:modified>
</cp:coreProperties>
</file>